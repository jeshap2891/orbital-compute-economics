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ummary" sheetId="1" state="visible" r:id="rId3"/>
    <sheet name="Global Assumptions" sheetId="2" state="visible" r:id="rId4"/>
    <sheet name="A1 Inputs" sheetId="3" state="visible" r:id="rId5"/>
    <sheet name="A1 Orbital" sheetId="4" state="visible" r:id="rId6"/>
    <sheet name="A1 Terrestrial" sheetId="5" state="visible" r:id="rId7"/>
    <sheet name="A1 EffCompute" sheetId="6" state="visible" r:id="rId8"/>
    <sheet name="A1 Sensitivity" sheetId="7" state="visible" r:id="rId9"/>
    <sheet name="A2 Inputs" sheetId="8" state="visible" r:id="rId10"/>
    <sheet name="A2 BuildVsBuy" sheetId="9" state="visible" r:id="rId11"/>
    <sheet name="A2 CostCurve" sheetId="10" state="visible" r:id="rId12"/>
    <sheet name="A3 Inputs" sheetId="11" state="visible" r:id="rId13"/>
    <sheet name="A3 Ramp" sheetId="12" state="visible" r:id="rId14"/>
    <sheet name="A3 Sensitivity" sheetId="13" state="visible" r:id="rId15"/>
    <sheet name="RAD Model" sheetId="14" state="visible" r:id="rId16"/>
    <sheet name="Sources" sheetId="15" state="visible" r:id="rId17"/>
  </sheets>
  <calcPr iterateCount="100" refMode="A1" iterate="false" iterateDelta="0.0001"/>
</workbook>
</file>

<file path=xl/sharedStrings.xml><?xml version="1.0" encoding="utf-8"?>
<sst xmlns="http://schemas.openxmlformats.org/spreadsheetml/2006/main" count="939" uniqueCount="454">
  <si>
    <t xml:space="preserve">ORBITAL DATA COMPUTE — INTEGRATED MODEL</t>
  </si>
  <si>
    <t xml:space="preserve">Self-initiated work sample · J. Shapiro · inputs tagged [FACT]/[EST]/[REVEAL]/[TGT]/[SPX-IN] · shared inputs on the Global Assumptions tab</t>
  </si>
  <si>
    <t xml:space="preserve">ANALYSIS 1 — Orbital vs. Terrestrial unit economics (1 GW)</t>
  </si>
  <si>
    <t xml:space="preserve">Orbital build cost</t>
  </si>
  <si>
    <t xml:space="preserve">Terrestrial build cost</t>
  </si>
  <si>
    <t xml:space="preserve">Orbital premium — per watt</t>
  </si>
  <si>
    <t xml:space="preserve">Cost per effective PFLOP-hr — inference</t>
  </si>
  <si>
    <t xml:space="preserve">Cost per effective PFLOP-hr — training</t>
  </si>
  <si>
    <t xml:space="preserve">networking tax</t>
  </si>
  <si>
    <t xml:space="preserve">ANALYSIS 2 — Bastrop insource vs. outsource</t>
  </si>
  <si>
    <t xml:space="preserve">Net NPV of insourcing (7 yr)</t>
  </si>
  <si>
    <t xml:space="preserve">illustrative inputs</t>
  </si>
  <si>
    <t xml:space="preserve">Mature in-house unit cost</t>
  </si>
  <si>
    <t xml:space="preserve">ANALYSIS 3 — AI-Sat production ramp</t>
  </si>
  <si>
    <t xml:space="preserve">Cumulative power to orbit (final yr)</t>
  </si>
  <si>
    <t xml:space="preserve">Cumulative capex (final yr)</t>
  </si>
  <si>
    <t xml:space="preserve">Cost per satellite (final yr)</t>
  </si>
  <si>
    <t xml:space="preserve">85% learning curve</t>
  </si>
  <si>
    <t xml:space="preserve">RADIATOR THERMAL TAX</t>
  </si>
  <si>
    <t xml:space="preserve">Implied radiator temperature</t>
  </si>
  <si>
    <t xml:space="preserve">Margin to silicon throttle</t>
  </si>
  <si>
    <t xml:space="preserve">headroom</t>
  </si>
  <si>
    <t xml:space="preserve">Radiator mass (1 GW)</t>
  </si>
  <si>
    <t xml:space="preserve">HEADLINE: orbital AI compute is ~2x terrestrial for inference and ~5x for training — a launch-cost option and an inference play, not general compute. The split is set by interconnect bandwidth (1 Tbps laser vs ~1,040 Tbps NVLink), not dollars.</t>
  </si>
  <si>
    <t xml:space="preserve">GLOBAL ASSUMPTIONS — single source of truth</t>
  </si>
  <si>
    <t xml:space="preserve">Shared inputs live here only. Each analysis links to these cells (green font), so changing a value here updates every model — no drift.</t>
  </si>
  <si>
    <t xml:space="preserve">Parameter</t>
  </si>
  <si>
    <t xml:space="preserve">Value</t>
  </si>
  <si>
    <t xml:space="preserve">Unit</t>
  </si>
  <si>
    <t xml:space="preserve">Tag</t>
  </si>
  <si>
    <t xml:space="preserve">Used by</t>
  </si>
  <si>
    <t xml:space="preserve">FINANCIAL</t>
  </si>
  <si>
    <t xml:space="preserve">Discount rate (WACC)</t>
  </si>
  <si>
    <t xml:space="preserve">%/yr</t>
  </si>
  <si>
    <t xml:space="preserve">[SPX-IN]</t>
  </si>
  <si>
    <t xml:space="preserve">A1, A2</t>
  </si>
  <si>
    <t xml:space="preserve">Launch cost to LEO</t>
  </si>
  <si>
    <t xml:space="preserve">$/kg</t>
  </si>
  <si>
    <t xml:space="preserve">[TGT]</t>
  </si>
  <si>
    <t xml:space="preserve">A1, A3, Radiator</t>
  </si>
  <si>
    <t xml:space="preserve">Target cluster power</t>
  </si>
  <si>
    <t xml:space="preserve">MW</t>
  </si>
  <si>
    <t xml:space="preserve">[EST]</t>
  </si>
  <si>
    <t xml:space="preserve">A1, Radiator</t>
  </si>
  <si>
    <t xml:space="preserve">AI1 REFERENCE SPECS (June 8 2026 reveal / S-1)</t>
  </si>
  <si>
    <t xml:space="preserve">Compute payload (avg)</t>
  </si>
  <si>
    <t xml:space="preserve">kW/sat</t>
  </si>
  <si>
    <t xml:space="preserve">[REVEAL]</t>
  </si>
  <si>
    <t xml:space="preserve">A3</t>
  </si>
  <si>
    <t xml:space="preserve">Specific power</t>
  </si>
  <si>
    <t xml:space="preserve">kW/ton</t>
  </si>
  <si>
    <t xml:space="preserve">Radiator flux (double-sided)</t>
  </si>
  <si>
    <t xml:space="preserve">W/m2</t>
  </si>
  <si>
    <t xml:space="preserve">NOTE: A1 cost model uses a CONSERVATIVE 36.5 W/kg specific-power base (not the AI1 70 kW/ton above) and stresses 70 as the bull case — deliberate; see A1 Inputs C12.</t>
  </si>
  <si>
    <t xml:space="preserve">INPUTS &amp; ASSUMPTIONS</t>
  </si>
  <si>
    <t xml:space="preserve">Blue = input you can change · Yellow = most needs a real SpaceX number · tags: [FACT]/[EST]/[REVEAL]/[TGT]/[SPX-IN]</t>
  </si>
  <si>
    <t xml:space="preserve">SCOPE NOTE: both builds are ALL-IN (include power generation).</t>
  </si>
  <si>
    <t xml:space="preserve">TARGET SYSTEM</t>
  </si>
  <si>
    <t xml:space="preserve">Target cluster power (deployed compute)</t>
  </si>
  <si>
    <t xml:space="preserve">Sized to 1 GW to match published comparison models (McCalip, Epoch AI)</t>
  </si>
  <si>
    <t xml:space="preserve">Analysis period</t>
  </si>
  <si>
    <t xml:space="preserve">years</t>
  </si>
  <si>
    <t xml:space="preserve">Standard infra horizon</t>
  </si>
  <si>
    <t xml:space="preserve">Placeholder; use SpaceX cost of capital</t>
  </si>
  <si>
    <t xml:space="preserve">LAUNCH ECONOMICS  (the master variable)</t>
  </si>
  <si>
    <t xml:space="preserve">Starship TARGET; not yet demonstrated. Falcon 9 rideshare = $7,000/kg (Feb 2026). McCalip baseline $1,000/kg.</t>
  </si>
  <si>
    <t xml:space="preserve">System specific power</t>
  </si>
  <si>
    <t xml:space="preserve">W/kg</t>
  </si>
  <si>
    <t xml:space="preserve">BASE CASE conservative 36.5 W/kg = power+bus+structure EXCLUDING compute-rejection radiators (McCalip heritage basis). Radiators are added separately on tab 2 to CORRECT that omission — no overlap. AI1 reveal claims 70 kW/ton [REVEAL] = bull upside; stressed in tab 5.</t>
  </si>
  <si>
    <t xml:space="preserve">SPACE HARDWARE &amp; POWER</t>
  </si>
  <si>
    <t xml:space="preserve">Compute accelerator cost</t>
  </si>
  <si>
    <t xml:space="preserve">$/W</t>
  </si>
  <si>
    <t xml:space="preserve">GB300-class ~$25/W on a hardware-COST basis (not Nvidia retail ~$54/W, which embeds vendor margin SpaceX insources around) x 1.4 space-grade premium.</t>
  </si>
  <si>
    <t xml:space="preserve">Power system (solar+PMAD)</t>
  </si>
  <si>
    <t xml:space="preserve">Space solar array + power mgmt/distribution per watt; order-of-magnitude</t>
  </si>
  <si>
    <t xml:space="preserve">Bus, structure, integration</t>
  </si>
  <si>
    <t xml:space="preserve">Satellite bus, structure, harness, assembly/test per watt</t>
  </si>
  <si>
    <t xml:space="preserve">Compute + bus hardware cost (built up)</t>
  </si>
  <si>
    <t xml:space="preserve">Independent build-up (compute + power + bus). Ratio to terrestrial falls out; NOT calibrated to a target.</t>
  </si>
  <si>
    <t xml:space="preserve">Solar cell degradation</t>
  </si>
  <si>
    <t xml:space="preserve">GPU annual failure rate</t>
  </si>
  <si>
    <t xml:space="preserve">Meta Llama-3 fleet figure (9%/yr) [EST]; no on-orbit repair. Space radiation may push this higher — which only strengthens the case (more re-launch).</t>
  </si>
  <si>
    <t xml:space="preserve">Orbital ops &amp; ground network</t>
  </si>
  <si>
    <t xml:space="preserve">%capex/yr</t>
  </si>
  <si>
    <t xml:space="preserve">Illustrative annual O&amp;M as % of hardware capex</t>
  </si>
  <si>
    <t xml:space="preserve">THERMAL (radiative cooling only — vacuum)</t>
  </si>
  <si>
    <t xml:space="preserve">Radiator heat rejection</t>
  </si>
  <si>
    <t xml:space="preserve">AI1 reveal: double-sided radiators 1,400 W/m2</t>
  </si>
  <si>
    <t xml:space="preserve">Radiator areal mass</t>
  </si>
  <si>
    <t xml:space="preserve">kg/m2</t>
  </si>
  <si>
    <t xml:space="preserve">ISS ~2.7 kg/m2; modern deployable 5-10 kg/m2; midpoint 7</t>
  </si>
  <si>
    <t xml:space="preserve">TERRESTRIAL BENCHMARK</t>
  </si>
  <si>
    <t xml:space="preserve">All-in build capex</t>
  </si>
  <si>
    <t xml:space="preserve">$/kW</t>
  </si>
  <si>
    <t xml:space="preserve">Epoch AI 1 GW ALL-IN incl on-site power generation = $38/W. (McCalip infra-only = ~$15/W; we use all-in to match orbital scope, which includes its own solar power.)</t>
  </si>
  <si>
    <t xml:space="preserve">IT (GPU) refresh life</t>
  </si>
  <si>
    <t xml:space="preserve">Epoch AI base case</t>
  </si>
  <si>
    <t xml:space="preserve">Facility / shell life</t>
  </si>
  <si>
    <t xml:space="preserve">IT share of capex</t>
  </si>
  <si>
    <t xml:space="preserve">%</t>
  </si>
  <si>
    <t xml:space="preserve">Epoch AI: servers ~60% of cost</t>
  </si>
  <si>
    <t xml:space="preserve">Electricity price</t>
  </si>
  <si>
    <t xml:space="preserve">PUE (power usage effectiveness)</t>
  </si>
  <si>
    <t xml:space="preserve">x</t>
  </si>
  <si>
    <t xml:space="preserve">Modern AI DC ~1.1-1.2</t>
  </si>
  <si>
    <t xml:space="preserve">Non-power opex</t>
  </si>
  <si>
    <t xml:space="preserve">Maintenance/staff/network</t>
  </si>
  <si>
    <t xml:space="preserve">EFFECTIVE COMPUTE (utilization)</t>
  </si>
  <si>
    <t xml:space="preserve">Accelerator compute density</t>
  </si>
  <si>
    <t xml:space="preserve">PFLOP/kW</t>
  </si>
  <si>
    <t xml:space="preserve">[FACT]</t>
  </si>
  <si>
    <t xml:space="preserve">~H100 FP16-dense reference (989 TFLOP / 700W ~ 1.4 PFLOP/kW). FP8 dense is ~1,979 TFLOP; figure cancels in the orbital/terrestrial ratio, used only for the effective-PFLOP denominator.</t>
  </si>
  <si>
    <t xml:space="preserve">MFU — terrestrial training</t>
  </si>
  <si>
    <t xml:space="preserve">PaLM 46%, Llama-3 38-43%, MegaScale 55%</t>
  </si>
  <si>
    <t xml:space="preserve">MFU — orbital training</t>
  </si>
  <si>
    <t xml:space="preserve">Lower: ISL bandwidth ~1 Tbps vs ~1,040 Tbps intra-rack NVLink</t>
  </si>
  <si>
    <t xml:space="preserve">MFU — orbital inference</t>
  </si>
  <si>
    <t xml:space="preserve">Comparable to terrestrial for batch inference w/ preloaded weights</t>
  </si>
  <si>
    <t xml:space="preserve">J. Shapiro  ·  Prepared as an independent work sample · all figures public-sourced or labeled illustrative</t>
  </si>
  <si>
    <t xml:space="preserve">ORBITAL CLUSTER — BOTTOMS-UP $/W</t>
  </si>
  <si>
    <t xml:space="preserve">Target power</t>
  </si>
  <si>
    <t xml:space="preserve">kW</t>
  </si>
  <si>
    <t xml:space="preserve">MW -&gt; kW</t>
  </si>
  <si>
    <t xml:space="preserve">System mass to orbit</t>
  </si>
  <si>
    <t xml:space="preserve">kg</t>
  </si>
  <si>
    <t xml:space="preserve">power / specific power</t>
  </si>
  <si>
    <t xml:space="preserve">Mass to orbit, incl. radiator (t)</t>
  </si>
  <si>
    <t xml:space="preserve">t</t>
  </si>
  <si>
    <t xml:space="preserve">Starship launches @150t (incl. radiator)</t>
  </si>
  <si>
    <t xml:space="preserve">launches</t>
  </si>
  <si>
    <t xml:space="preserve">Launch cost</t>
  </si>
  <si>
    <t xml:space="preserve">$</t>
  </si>
  <si>
    <t xml:space="preserve">mass x $/kg</t>
  </si>
  <si>
    <t xml:space="preserve">Compute + bus hardware</t>
  </si>
  <si>
    <t xml:space="preserve">W x $/W</t>
  </si>
  <si>
    <t xml:space="preserve">Heat to reject (~= compute power)</t>
  </si>
  <si>
    <t xml:space="preserve">assume ~100% of electrical power -&gt; heat</t>
  </si>
  <si>
    <t xml:space="preserve">Radiator area</t>
  </si>
  <si>
    <t xml:space="preserve">m2</t>
  </si>
  <si>
    <t xml:space="preserve">heat W / (W/m2)</t>
  </si>
  <si>
    <t xml:space="preserve">Radiator mass</t>
  </si>
  <si>
    <t xml:space="preserve">Radiator launch cost (incremental)</t>
  </si>
  <si>
    <t xml:space="preserve">thermal mass tax McCalip omits</t>
  </si>
  <si>
    <t xml:space="preserve">Total upfront capex</t>
  </si>
  <si>
    <t xml:space="preserve">Capital recovery factor</t>
  </si>
  <si>
    <t xml:space="preserve">CRF over analysis period</t>
  </si>
  <si>
    <t xml:space="preserve">Annualized capex</t>
  </si>
  <si>
    <t xml:space="preserve">$/yr</t>
  </si>
  <si>
    <t xml:space="preserve">GPU failure replacement</t>
  </si>
  <si>
    <t xml:space="preserve">no repair; amortized replacement</t>
  </si>
  <si>
    <t xml:space="preserve">GPU replacement launch cost</t>
  </si>
  <si>
    <t xml:space="preserve">No on-orbit repair: replacement GPUs must be re-launched. Mass x failure rate x launch $/kg. Worsens orbital case (correct direction).</t>
  </si>
  <si>
    <t xml:space="preserve">Ops &amp; ground network</t>
  </si>
  <si>
    <t xml:space="preserve">Total annual cost</t>
  </si>
  <si>
    <t xml:space="preserve">Cost per watt (upfront capex)</t>
  </si>
  <si>
    <t xml:space="preserve">Solar availability derate (avg over life)</t>
  </si>
  <si>
    <t xml:space="preserve">Average solar power availability over life given degradation; derates delivered MW.</t>
  </si>
  <si>
    <t xml:space="preserve">Cost per MW-year (annualized)</t>
  </si>
  <si>
    <t xml:space="preserve">$/MW-yr</t>
  </si>
  <si>
    <t xml:space="preserve">TERRESTRIAL AI DATA CENTER — BOTTOMS-UP $/W</t>
  </si>
  <si>
    <t xml:space="preserve">Total build capex</t>
  </si>
  <si>
    <t xml:space="preserve">kW x $/kW</t>
  </si>
  <si>
    <t xml:space="preserve">  of which IT (GPU) capex</t>
  </si>
  <si>
    <t xml:space="preserve">  of which facility capex</t>
  </si>
  <si>
    <t xml:space="preserve">CRF — IT (refresh life)</t>
  </si>
  <si>
    <t xml:space="preserve">CRF — facility life</t>
  </si>
  <si>
    <t xml:space="preserve">Annualized IT capex</t>
  </si>
  <si>
    <t xml:space="preserve">Annualized facility capex</t>
  </si>
  <si>
    <t xml:space="preserve">Annual electricity (incl PUE)</t>
  </si>
  <si>
    <t xml:space="preserve">kW x PUE x hrs x $/kWh</t>
  </si>
  <si>
    <t xml:space="preserve">COST PER EFFECTIVE PFLOP-HOUR  (apples-to-apples)</t>
  </si>
  <si>
    <t xml:space="preserve">Peak FLOPS is misleading; only the MODEL FLOPS UTILIZATION fraction is usable. Networking sets the ceiling.</t>
  </si>
  <si>
    <t xml:space="preserve">Terrestrial</t>
  </si>
  <si>
    <t xml:space="preserve">Orbital (train)</t>
  </si>
  <si>
    <t xml:space="preserve">Orbital (infer)</t>
  </si>
  <si>
    <t xml:space="preserve">Annual system cost ($/yr)</t>
  </si>
  <si>
    <t xml:space="preserve">from build tabs</t>
  </si>
  <si>
    <t xml:space="preserve">Deployed power (MW)</t>
  </si>
  <si>
    <t xml:space="preserve">nameplate</t>
  </si>
  <si>
    <t xml:space="preserve">Peak compute (PFLOP)</t>
  </si>
  <si>
    <t xml:space="preserve">MW x 1000 x PFLOP/kW</t>
  </si>
  <si>
    <t xml:space="preserve">MFU (usable fraction)</t>
  </si>
  <si>
    <t xml:space="preserve">utilization haircut</t>
  </si>
  <si>
    <t xml:space="preserve">Effective compute (PFLOP)</t>
  </si>
  <si>
    <t xml:space="preserve">Effective PFLOP-hours / yr</t>
  </si>
  <si>
    <t xml:space="preserve">COST PER EFFECTIVE PFLOP-HOUR</t>
  </si>
  <si>
    <t xml:space="preserve">Orbital premium vs terrestrial</t>
  </si>
  <si>
    <t xml:space="preserve">THE NETWORKING TAX  (why inference, not training)</t>
  </si>
  <si>
    <t xml:space="preserve">Intra-rack NVLink-5 fabric (GB300 NVL72): ~130 TB/s aggregate = ~1,040 Tbps  [FACT, NVIDIA]</t>
  </si>
  <si>
    <t xml:space="preserve">AI1 inter-satellite laser link: ~1 Tbps  [REVEAL, Jun 8 2026]  -&gt;  ~1,000x below intra-rack bandwidth</t>
  </si>
  <si>
    <t xml:space="preserve">Even Google Suncatcher's 10 Tbps DWDM target ~ a single GPU's NVLink budget (14.4 Tbps).</t>
  </si>
  <si>
    <t xml:space="preserve">Consequence: tensor-parallel TRAINING needs NVLink-class bandwidth orbit cannot supply -&gt; low orbital-train MFU.</t>
  </si>
  <si>
    <t xml:space="preserve">Batch INFERENCE with preloaded weights is embarrassingly parallel -&gt; orbital MFU ~ terrestrial. This is the</t>
  </si>
  <si>
    <t xml:space="preserve">workload SpaceX's S-1 names ('energy-intensive AI workloads, such as inference demand').</t>
  </si>
  <si>
    <t xml:space="preserve">CROSSOVER ANALYSIS — Orbital $/W ÷ Terrestrial $/W</t>
  </si>
  <si>
    <t xml:space="preserve">Values &lt; 1.0x (green) = orbital cheaper. The model recomputes orbital $/W for each launch-cost / specific-power pair.</t>
  </si>
  <si>
    <t xml:space="preserve">Terrestrial $/W (constant):</t>
  </si>
  <si>
    <t xml:space="preserve">Launch $/kg  \  Specific power (W/kg) -&gt;</t>
  </si>
  <si>
    <t xml:space="preserve">READING THIS TABLE:</t>
  </si>
  <si>
    <t xml:space="preserve">  Each cell = orbital cost per watt / terrestrial cost per watt, recomputed at that launch cost (row) and specific power (col).</t>
  </si>
  <si>
    <t xml:space="preserve">  Holds hardware $/W, radiator mass, and radiator W/m2 at their Inputs-tab values; change those to re-stress.</t>
  </si>
  <si>
    <t xml:space="preserve">  GREEN (&lt;1.0x) = orbital cheaper per watt.  YELLOW (1-2x) = contested.  RED (&gt;2x) = terrestrial wins clearly.</t>
  </si>
  <si>
    <t xml:space="preserve">TAKEAWAY: orbital reaches parity per-watt only in the bottom-left corner — LOW launch cost AND HIGH specific power</t>
  </si>
  <si>
    <t xml:space="preserve">together. At the demonstrated Falcon-9 rate ($7,000/kg) nothing is close. This is a launch-cost option, not a today trade.</t>
  </si>
  <si>
    <t xml:space="preserve">Note: this is capex-per-watt; the asset-life and MFU levers (tabs 2-4) further favor terrestrial for training workloads.</t>
  </si>
  <si>
    <t xml:space="preserve">NOTE (specific power &gt;= 70 W/kg): AI1s 70 kW/ton is likely an ALL-IN figure already including radiators, so the radiator term added here may double-count in those columns — read them as a CONSERVATIVE upper bound.</t>
  </si>
  <si>
    <t xml:space="preserve">NOTE (base case): the 36.5 W/kg base sits just left of the 50 W/kg column (~1.95-2.0x here). This grid is the simplified capex-per-watt ratio; the headline 2.14x is the full TCO / effective-PFLOP figure on tabs 2-4.</t>
  </si>
  <si>
    <t xml:space="preserve">CROSSOVER #2 — Orbital ÷ Terrestrial cost per MW-YEAR (annualized), by launch $/kg × asset life</t>
  </si>
  <si>
    <t xml:space="preserve">Asset life drives the capital-recovery factor AND the solar-degradation derate; this isolates that lever on a full annualized basis (incl. compute, radiator, GPU re-launch). Terrestrial denominator uses its own 5/14-yr lives.</t>
  </si>
  <si>
    <t xml:space="preserve">Terrestrial $/MW-yr (constant):</t>
  </si>
  <si>
    <t xml:space="preserve">Launch $/kg  \  Asset life (yrs) -&gt;</t>
  </si>
  <si>
    <t xml:space="preserve">TIE-OUT: base cell (1,000 $/kg, 10-yr life) = Orbital Build!C28 ÷ Terrestrial Build!C20 = the headline ~2.4x per MW-year.</t>
  </si>
  <si>
    <t xml:space="preserve">READING: longer life lowers the annualized burden, but orbital stays &gt;1x even at 20-yr life + low launch — asset life alone cannot offset the compute+radiator+re-launch stack. Parity needs launch, specific power, AND life together (see crossover #1 above).</t>
  </si>
  <si>
    <t xml:space="preserve">Scenario launch cost ($/kg):</t>
  </si>
  <si>
    <t xml:space="preserve">[TGT]  forward Starship target</t>
  </si>
  <si>
    <t xml:space="preserve">LONG-RUN SCENARIO (INFERENCE) — Orbital ÷ Terrestrial annual cost, as the bet's two levers move</t>
  </si>
  <si>
    <t xml:space="preserve">Forward inputs: orbital hardware $/W falls (vertical integration, terafab, scale) and terrestrial $/W rises (grid scarcity, transformers, permitting); launch held at the scenario cell above. Green &lt;1.0x = orbit cheaper. INFERENCE ONLY — frontier training stays on Earth (bandwidth-bound, see Effective Compute).</t>
  </si>
  <si>
    <t xml:space="preserve">Orbital HW $/W  \  Terrestrial $/W -&gt;</t>
  </si>
  <si>
    <t xml:space="preserve">Metric = orbital ÷ terrestrial ANNUAL cost = the inference cost-per-effective-PFLOP-hr ratio (orbital &amp; terrestrial MFU equal for batch inference, so the PFLOP terms cancel). Set the scenario launch to $1,000 and the (49, 38) cell returns the base-case 2.16x — ties to Effective Compute.</t>
  </si>
  <si>
    <t xml:space="preserve">LAUNCH-COST REFERENCE — what a $/kg target means per launch (context for the launch lever)</t>
  </si>
  <si>
    <t xml:space="preserve">Cost per launch = $/kg x payload. $200-300/kg is ~$20-45M/launch — about 3x HIGHER than SpaceX's ~$10M/launch target, so the crossover threshold is reached BEFORE Starship hits its own cost goals. A reusability / cost-per-launch problem, not a per-hour-cadence one.</t>
  </si>
  <si>
    <t xml:space="preserve">Launch $/kg  \  Payload -&gt;</t>
  </si>
  <si>
    <t xml:space="preserve">(= cost per launch, $M)</t>
  </si>
  <si>
    <t xml:space="preserve">Cost/launch ($M)  \  Payload -&gt;</t>
  </si>
  <si>
    <t xml:space="preserve">(= $/kg)</t>
  </si>
  <si>
    <t xml:space="preserve">Read: SpaceX's ~$10M/launch target = ~$67/kg at 150 t — already below the $200-300/kg crossover band. Per-hour/daily cadence is what drives cost toward the $7-20/kg floor and what deploys terawatt-scale VOLUME — a separate question from the price-per-kg crossover.</t>
  </si>
  <si>
    <t xml:space="preserve">Most cost inputs here are [SPX-IN] placeholders — replace with real Bastrop figures to make it a live tool.</t>
  </si>
  <si>
    <t xml:space="preserve">COMPONENT &amp; VOLUME</t>
  </si>
  <si>
    <t xml:space="preserve">Component</t>
  </si>
  <si>
    <t xml:space="preserve">RF packaging</t>
  </si>
  <si>
    <t xml:space="preserve">Bastrop insourcing RF-chip packaging; line targeted end-2026</t>
  </si>
  <si>
    <t xml:space="preserve">Year-1 annual volume</t>
  </si>
  <si>
    <t xml:space="preserve">units/yr</t>
  </si>
  <si>
    <t xml:space="preserve">Illustrative; tie to ~15,000 dishes/day = ~5.5M/yr terminal run-rate</t>
  </si>
  <si>
    <t xml:space="preserve">Annual volume growth</t>
  </si>
  <si>
    <t xml:space="preserve">US kit output +62% over 9 mo in 2025; assume 25%/yr</t>
  </si>
  <si>
    <t xml:space="preserve">Analysis horizon (structural)</t>
  </si>
  <si>
    <t xml:space="preserve">Standard capex horizon</t>
  </si>
  <si>
    <t xml:space="preserve">Placeholder cost of capital</t>
  </si>
  <si>
    <t xml:space="preserve">BUY (outsource) PATH</t>
  </si>
  <si>
    <t xml:space="preserve">Outsourced unit price (Y1)</t>
  </si>
  <si>
    <t xml:space="preserve">$/unit</t>
  </si>
  <si>
    <t xml:space="preserve">Illustrative current vendor price incl margin</t>
  </si>
  <si>
    <t xml:space="preserve">Vendor price escalation</t>
  </si>
  <si>
    <t xml:space="preserve">Annual price increase</t>
  </si>
  <si>
    <t xml:space="preserve">BUILD (insource) PATH</t>
  </si>
  <si>
    <t xml:space="preserve">Line capex (equipment+install)</t>
  </si>
  <si>
    <t xml:space="preserve">Illustrative packaging line; replace w/ real equipment quote</t>
  </si>
  <si>
    <t xml:space="preserve">Equipment depreciation life (ref. only)</t>
  </si>
  <si>
    <t xml:space="preserve">Reference only — this is a pure cash NPV model and does not depreciate. Shown for context.</t>
  </si>
  <si>
    <t xml:space="preserve">In-house unit cost at Y1 volume</t>
  </si>
  <si>
    <t xml:space="preserve">BOM+labor+overhead at the Year-1 cumulative volume anchor (not unit 1). Learning applies to doublings beyond Y1.</t>
  </si>
  <si>
    <t xml:space="preserve">Learning rate (Wright's law)</t>
  </si>
  <si>
    <t xml:space="preserve">Electronics typically 85-90%: 15% cost cut per cumulative doubling</t>
  </si>
  <si>
    <t xml:space="preserve">Year-1 yield</t>
  </si>
  <si>
    <t xml:space="preserve">Ramp yield; improves to mature</t>
  </si>
  <si>
    <t xml:space="preserve">Mature yield</t>
  </si>
  <si>
    <t xml:space="preserve">Steady-state</t>
  </si>
  <si>
    <t xml:space="preserve">Fixed line opex</t>
  </si>
  <si>
    <t xml:space="preserve">Maintenance/utilities/staff as % of capex</t>
  </si>
  <si>
    <t xml:space="preserve">J. Shapiro  ·  Independent work sample · illustrative inputs labeled [SPX-IN]</t>
  </si>
  <si>
    <t xml:space="preserve">BUILD vs BUY — ANNUAL CASH FLOWS</t>
  </si>
  <si>
    <t xml:space="preserve">Year</t>
  </si>
  <si>
    <t xml:space="preserve">Annual volume (units)</t>
  </si>
  <si>
    <t xml:space="preserve">Cumulative volume</t>
  </si>
  <si>
    <t xml:space="preserve">BUY: outsourced cost ($)</t>
  </si>
  <si>
    <t xml:space="preserve">BUILD: in-house unit cost ($)</t>
  </si>
  <si>
    <t xml:space="preserve">BUILD: variable cost ($)</t>
  </si>
  <si>
    <t xml:space="preserve">BUILD: fixed line opex ($)</t>
  </si>
  <si>
    <t xml:space="preserve">BUILD: capex ($)</t>
  </si>
  <si>
    <t xml:space="preserve">BUILD: total cost ($)</t>
  </si>
  <si>
    <t xml:space="preserve">Annual saving (Buy - Build) ($)</t>
  </si>
  <si>
    <t xml:space="preserve">Discounted saving ($)</t>
  </si>
  <si>
    <t xml:space="preserve">Cumulative NPV ($)</t>
  </si>
  <si>
    <t xml:space="preserve">SUMMARY</t>
  </si>
  <si>
    <t xml:space="preserve">Net NPV of insourcing ($)</t>
  </si>
  <si>
    <t xml:space="preserve">Mature in-house unit cost ($)</t>
  </si>
  <si>
    <t xml:space="preserve">Mature outsourced price ($)</t>
  </si>
  <si>
    <t xml:space="preserve">Unit cost advantage at maturity ($)</t>
  </si>
  <si>
    <t xml:space="preserve">COST-DOWN CURVE &amp; NPV SENSITIVITY</t>
  </si>
  <si>
    <t xml:space="preserve">Each (learning rate × Y1 volume) cell reproduces the main tab's per-year logic exactly: 25%/yr volume growth, yield ramp,</t>
  </si>
  <si>
    <t xml:space="preserve">normalized Wright's-law curve, per-year discounting. The base case (0.85 / 2.0M) ties to tab 2's headline NPV.</t>
  </si>
  <si>
    <t xml:space="preserve">NPV of insourcing ($), 7-yr horizon</t>
  </si>
  <si>
    <t xml:space="preserve">LR \ Y1 volume</t>
  </si>
  <si>
    <t xml:space="preserve">TIE-OUT: base cell (LR 0.85 / V1 2,000,000) equals tab 2 headline Net NPV by construction (same per-year math). Holds at the DEFAULT LR; the grid varies LR independently, so changing Inputs!C20 moves the headline but not this base cell.</t>
  </si>
  <si>
    <t xml:space="preserve">READING: green = insourcing NPV-positive; red = BUY wins. Insourcing needs BOTH adequate volume AND a steep</t>
  </si>
  <si>
    <t xml:space="preserve">enough learning rate to amortize the line's fixed capex; below breakeven volume the line is underutilized and BUY wins.</t>
  </si>
  <si>
    <t xml:space="preserve">WHAT I'D NEED FROM SPACEX: real line capex, current outsourced price, first-block in-house cost, yield ramp, committed volume.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</si>
  <si>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</si>
  <si>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</si>
  <si>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</si>
  <si>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</si>
  <si>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</si>
  <si>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</si>
  <si>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</si>
  <si>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vol_t</t>
  </si>
  <si>
    <t xml:space="preserve">cumvol_t</t>
  </si>
  <si>
    <t xml:space="preserve">yield_t</t>
  </si>
  <si>
    <t xml:space="preserve">inhouse_t</t>
  </si>
  <si>
    <t xml:space="preserve">buy_t</t>
  </si>
  <si>
    <t xml:space="preserve">build_t</t>
  </si>
  <si>
    <t xml:space="preserve">disc_t</t>
  </si>
  <si>
    <t xml:space="preserve">LR 0.9 / V1 2,000,000</t>
  </si>
  <si>
    <t xml:space="preserve">LR 0.9 / V1 3,500,000</t>
  </si>
  <si>
    <t xml:space="preserve">LR 0.9 / V1 5,500,000</t>
  </si>
  <si>
    <t xml:space="preserve">LR 0.9 / V1 8,000,000</t>
  </si>
  <si>
    <t xml:space="preserve">LR 0.88 / V1 1,000,000</t>
  </si>
  <si>
    <t xml:space="preserve">LR 0.88 / V1 2,000,000</t>
  </si>
  <si>
    <t xml:space="preserve">LR 0.88 / V1 3,500,000</t>
  </si>
  <si>
    <t xml:space="preserve">LR 0.88 / V1 5,500,000</t>
  </si>
  <si>
    <t xml:space="preserve">LR 0.88 / V1 8,000,000</t>
  </si>
  <si>
    <t xml:space="preserve">LR 0.85 / V1 1,000,000</t>
  </si>
  <si>
    <t xml:space="preserve">LR 0.85 / V1 2,000,000</t>
  </si>
  <si>
    <t xml:space="preserve">LR 0.85 / V1 3,500,000</t>
  </si>
  <si>
    <t xml:space="preserve">LR 0.85 / V1 5,500,000</t>
  </si>
  <si>
    <t xml:space="preserve">LR 0.85 / V1 8,000,000</t>
  </si>
  <si>
    <t xml:space="preserve">LR 0.82 / V1 1,000,000</t>
  </si>
  <si>
    <t xml:space="preserve">LR 0.82 / V1 2,000,000</t>
  </si>
  <si>
    <t xml:space="preserve">LR 0.82 / V1 3,500,000</t>
  </si>
  <si>
    <t xml:space="preserve">LR 0.82 / V1 5,500,000</t>
  </si>
  <si>
    <t xml:space="preserve">LR 0.82 / V1 8,000,000</t>
  </si>
  <si>
    <t xml:space="preserve">LR 0.8 / V1 1,000,000</t>
  </si>
  <si>
    <t xml:space="preserve">LR 0.8 / V1 2,000,000</t>
  </si>
  <si>
    <t xml:space="preserve">LR 0.8 / V1 3,500,000</t>
  </si>
  <si>
    <t xml:space="preserve">LR 0.8 / V1 5,500,000</t>
  </si>
  <si>
    <t xml:space="preserve">LR 0.8 / V1 8,000,000</t>
  </si>
  <si>
    <t xml:space="preserve">TIMELINE</t>
  </si>
  <si>
    <t xml:space="preserve">First deployment year</t>
  </si>
  <si>
    <t xml:space="preserve">year</t>
  </si>
  <si>
    <t xml:space="preserve">SpaceX S-1: 'deploy as early as 2028'</t>
  </si>
  <si>
    <t xml:space="preserve">Years modeled (structural)</t>
  </si>
  <si>
    <t xml:space="preserve">2028-2033</t>
  </si>
  <si>
    <t xml:space="preserve">PER-SATELLITE SPEC (AI1 'AI Sat Mini')</t>
  </si>
  <si>
    <t xml:space="preserve">Power per satellite</t>
  </si>
  <si>
    <t xml:space="preserve">kW avg</t>
  </si>
  <si>
    <t xml:space="preserve">AI1 reveal: 150 kW peak / 120 kW avg ~ one GB300 NVL72 rack</t>
  </si>
  <si>
    <t xml:space="preserve">AI1 reveal: 70 kW/ton</t>
  </si>
  <si>
    <t xml:space="preserve">Mass per satellite</t>
  </si>
  <si>
    <t xml:space="preserve">tons</t>
  </si>
  <si>
    <t xml:space="preserve"> power / specific power (120/70)</t>
  </si>
  <si>
    <t xml:space="preserve">Cost per sat (first-year anchor)</t>
  </si>
  <si>
    <t xml:space="preserve">$M/unit</t>
  </si>
  <si>
    <t xml:space="preserve">Quilty: V3 ~\$1.2M/sat; AI-Sat likely higher - illustrative anchor</t>
  </si>
  <si>
    <t xml:space="preserve">Electronics/sat 85-90%; Starlink rode this curve</t>
  </si>
  <si>
    <t xml:space="preserve">FACTORY CAPACITY (Gigasat, Bastrop)</t>
  </si>
  <si>
    <t xml:space="preserve">Year-1 factory capacity</t>
  </si>
  <si>
    <t xml:space="preserve">sats/yr</t>
  </si>
  <si>
    <t xml:space="preserve">Ramp start; illustrative</t>
  </si>
  <si>
    <t xml:space="preserve">Factory capacity growth</t>
  </si>
  <si>
    <t xml:space="preserve">Press name 'Gigasat'. Musk's roadmap: ~1 GW/yr of space compute by late 2027 = ~8,000 sats/yr at 120 kW. Model uses a deliberately conservative illustrative ramp from 500/yr [SPX-IN]; a larger real factory only makes LAUNCH bind harder, strengthening the finding.</t>
  </si>
  <si>
    <t xml:space="preserve">LAUNCH CAPACITY (Starship)</t>
  </si>
  <si>
    <t xml:space="preserve">Starship payload to LEO</t>
  </si>
  <si>
    <t xml:space="preserve">V3 target &gt;100t reusable; use 150t</t>
  </si>
  <si>
    <t xml:space="preserve">Year-1 Starship flights (for AI-Sat)</t>
  </si>
  <si>
    <t xml:space="preserve">flights/yr</t>
  </si>
  <si>
    <t xml:space="preserve">Illustrative AI-Sat allocation of cadence</t>
  </si>
  <si>
    <t xml:space="preserve">Launch cadence growth</t>
  </si>
  <si>
    <t xml:space="preserve">Aggressive ramp toward high cadence</t>
  </si>
  <si>
    <t xml:space="preserve">LAUNCH COST</t>
  </si>
  <si>
    <t xml:space="preserve">Starship target; not demonstrated</t>
  </si>
  <si>
    <t xml:space="preserve">J. Shapiro  ·  Independent work sample · targets labeled [TGT], internal-needed [SPX-IN]</t>
  </si>
  <si>
    <t xml:space="preserve">PRODUCTION RAMP — CAPACITY-GATED</t>
  </si>
  <si>
    <t xml:space="preserve">Factory capacity (sats/yr)</t>
  </si>
  <si>
    <t xml:space="preserve">Launch-limited sats/yr</t>
  </si>
  <si>
    <t xml:space="preserve">Deployed sats/yr (min constraint)</t>
  </si>
  <si>
    <t xml:space="preserve">Binding constraint</t>
  </si>
  <si>
    <t xml:space="preserve">Cumulative sats</t>
  </si>
  <si>
    <t xml:space="preserve">Cost per sat ($M)</t>
  </si>
  <si>
    <t xml:space="preserve">Manufacturing capex ($M)</t>
  </si>
  <si>
    <t xml:space="preserve">Launch capex ($M)</t>
  </si>
  <si>
    <t xml:space="preserve">Total capex ($M)</t>
  </si>
  <si>
    <t xml:space="preserve">Power deployed/yr (MW)</t>
  </si>
  <si>
    <t xml:space="preserve">Cumulative power (MW)</t>
  </si>
  <si>
    <t xml:space="preserve">Cumulative capex ($M)</t>
  </si>
  <si>
    <t xml:space="preserve">$/MW deployed (cumulative)</t>
  </si>
  <si>
    <t xml:space="preserve">Starship flights required/yr</t>
  </si>
  <si>
    <t xml:space="preserve">Cumulative power by final year (GW)</t>
  </si>
  <si>
    <t xml:space="preserve">Cumulative capex by final year ($M)</t>
  </si>
  <si>
    <t xml:space="preserve">Cost per sat, final year ($M)</t>
  </si>
  <si>
    <t xml:space="preserve">CUMULATIVE POWER-TO-ORBIT (GW) BY FINAL YEAR</t>
  </si>
  <si>
    <t xml:space="preserve">vs. Year-1 AI-Sat launch flights (rows) × launch cadence growth (cols). Factory capacity linked to Inputs; each cell</t>
  </si>
  <si>
    <t xml:space="preserve">reproduces tab 2's min(factory, launch) gate per year. Axes scoped so launch is the visible constraint (per the memo).</t>
  </si>
  <si>
    <t xml:space="preserve">Y1 flights \ growth</t>
  </si>
  <si>
    <t xml:space="preserve">TIE-OUT: base cell (6 flights / 0.45 growth) equals tab 2 'Cumulative power by final year' (~1.16 GW).</t>
  </si>
  <si>
    <t xml:space="preserve">READING: green &gt;1 GW; yellow 0.3-1 GW; red &lt;0.3 GW. Reaching ~1 GW requires sustained high launch cadence —</t>
  </si>
  <si>
    <t xml:space="preserve">the factory (Gigasat) rarely binds. This reframes '1 GW by end-2027' as a LAUNCH-cadence problem; S-1's 2028 is the base.</t>
  </si>
  <si>
    <t xml:space="preserve">WHAT I'D NEED FROM SPACEX: real per-sat mass &amp; cost, Gigasat ramp, AI-Sat share of cadence, realized Starship payload, learning rate.</t>
  </si>
  <si>
    <t xml:space="preserve">3 fl / 0.45 grw</t>
  </si>
  <si>
    <t xml:space="preserve">3 fl / 0.6 grw</t>
  </si>
  <si>
    <t xml:space="preserve">3 fl / 0.8 grw</t>
  </si>
  <si>
    <t xml:space="preserve">4 fl / 0.3 grw</t>
  </si>
  <si>
    <t xml:space="preserve">4 fl / 0.45 grw</t>
  </si>
  <si>
    <t xml:space="preserve">4 fl / 0.6 grw</t>
  </si>
  <si>
    <t xml:space="preserve">4 fl / 0.8 grw</t>
  </si>
  <si>
    <t xml:space="preserve">6 fl / 0.3 grw</t>
  </si>
  <si>
    <t xml:space="preserve">6 fl / 0.45 grw</t>
  </si>
  <si>
    <t xml:space="preserve">6 fl / 0.6 grw</t>
  </si>
  <si>
    <t xml:space="preserve">6 fl / 0.8 grw</t>
  </si>
  <si>
    <t xml:space="preserve">8 fl / 0.3 grw</t>
  </si>
  <si>
    <t xml:space="preserve">8 fl / 0.45 grw</t>
  </si>
  <si>
    <t xml:space="preserve">8 fl / 0.6 grw</t>
  </si>
  <si>
    <t xml:space="preserve">8 fl / 0.8 grw</t>
  </si>
  <si>
    <t xml:space="preserve">12 fl / 0.3 grw</t>
  </si>
  <si>
    <t xml:space="preserve">12 fl / 0.45 grw</t>
  </si>
  <si>
    <t xml:space="preserve">12 fl / 0.6 grw</t>
  </si>
  <si>
    <t xml:space="preserve">12 fl / 0.8 grw</t>
  </si>
  <si>
    <t xml:space="preserve">RADIATOR MASS TAX — first-principles model</t>
  </si>
  <si>
    <t xml:space="preserve">Q = e*sigma*A*T^4 (Stefan-Boltzmann). Blue = input. tags: [FACT]/[EST]/[REVEAL]</t>
  </si>
  <si>
    <t xml:space="preserve">INPUTS</t>
  </si>
  <si>
    <t xml:space="preserve">Emissivity (e)</t>
  </si>
  <si>
    <t xml:space="preserve">-</t>
  </si>
  <si>
    <t xml:space="preserve">Stefan-Boltzmann (sigma)</t>
  </si>
  <si>
    <t xml:space="preserve">W/m2K4</t>
  </si>
  <si>
    <t xml:space="preserve">Silicon throttle limit</t>
  </si>
  <si>
    <t xml:space="preserve">K</t>
  </si>
  <si>
    <t xml:space="preserve">AI1 stated radiator flux</t>
  </si>
  <si>
    <t xml:space="preserve">W/m2 (2-sided)</t>
  </si>
  <si>
    <t xml:space="preserve">AI1 BACK-CALCULATION</t>
  </si>
  <si>
    <t xml:space="preserve">Implied radiator temp from stated flux</t>
  </si>
  <si>
    <t xml:space="preserve">Margin to silicon limit</t>
  </si>
  <si>
    <t xml:space="preserve">Headroom before GPUs throttle</t>
  </si>
  <si>
    <t xml:space="preserve">TEMPERATURE SWEEP  (mass &amp; launch tax for target power)</t>
  </si>
  <si>
    <t xml:space="preserve">Radiator temp (K)</t>
  </si>
  <si>
    <t xml:space="preserve">Panel flux (W/m2)</t>
  </si>
  <si>
    <t xml:space="preserve">Mass (t)</t>
  </si>
  <si>
    <t xml:space="preserve">Launch tax ($B)</t>
  </si>
  <si>
    <t xml:space="preserve">Mass swings ~3x across 300-400 K on temperature alone; but the silicon limit (~358 K) floors how hot you can run, so radiator mass is effectively set by GPU junction temp, not free optimization.</t>
  </si>
  <si>
    <t xml:space="preserve">J. Shapiro  ·  independent work sample</t>
  </si>
  <si>
    <t xml:space="preserve">SOURCES</t>
  </si>
  <si>
    <t xml:space="preserve">Load-bearing anchors independently verified. Primary = SEC/official; reporting = trade press (verify exact wording).</t>
  </si>
  <si>
    <t xml:space="preserve">PRIMARY / OFFICIAL</t>
  </si>
  <si>
    <t xml:space="preserve">SpaceX S-1 / S-1A (CIK 1181412, SPCX)</t>
  </si>
  <si>
    <t xml:space="preserve">sec.gov/cgi-bin/browse-edgar?action=getcompany&amp;CIK=0001181412&amp;type=S-1</t>
  </si>
  <si>
    <t xml:space="preserve">AI1 reveal (June 8 2026) — @SpaceX</t>
  </si>
  <si>
    <t xml:space="preserve">x.com/SpaceX/status/2064099405758906727</t>
  </si>
  <si>
    <t xml:space="preserve">FCC million-satellite filing (Jan 2026)</t>
  </si>
  <si>
    <t xml:space="preserve">fcc.gov/ecfs (search SpaceX "orbital data center")</t>
  </si>
  <si>
    <t xml:space="preserve">PUBLIC ANCHORS (verified)</t>
  </si>
  <si>
    <t xml:space="preserve">McCalip/Varda ~3.2x ($51.1B vs $15.9B, infra-only ~$15/W basis)</t>
  </si>
  <si>
    <t xml:space="preserve">andrewmccalip.com/space-datacenters</t>
  </si>
  <si>
    <t xml:space="preserve">Epoch AI — $38/W, $8.5B/yr TCO, servers 60%, 8.34c/kWh</t>
  </si>
  <si>
    <t xml:space="preserve">epoch.ai/data-insights/ai-datacenter-cost-breakdown</t>
  </si>
  <si>
    <t xml:space="preserve">NVIDIA GB200 NVL72 — 130 TB/s aggregate (1.8 TB/s/GPU)</t>
  </si>
  <si>
    <t xml:space="preserve">nvidia.com/en-us/data-center/gb200-nvl72/</t>
  </si>
  <si>
    <t xml:space="preserve">MFU — PaLM 540B 46.2%</t>
  </si>
  <si>
    <t xml:space="preserve">arxiv.org/abs/2204.02311</t>
  </si>
  <si>
    <t xml:space="preserve">MFU — Llama 3 405B 38-43%</t>
  </si>
  <si>
    <t xml:space="preserve">arxiv.org/abs/2407.21783</t>
  </si>
  <si>
    <t xml:space="preserve">NVIDIA H100 datasheet (989 TFLOP FP16 dense)</t>
  </si>
  <si>
    <t xml:space="preserve">nvidia.com/en-us/data-center/h100/</t>
  </si>
  <si>
    <t xml:space="preserve">Starlink dish cost-down ($3,000-&gt;$1,500 BOM; 15,000/day)</t>
  </si>
  <si>
    <t xml:space="preserve">nextbigfuture.com / tesmanian (Shotwell figures)</t>
  </si>
  <si>
    <t xml:space="preserve">Quilty per-sat ($200k V1 -&gt; $800k V2-mini -&gt; $1.2M V3)</t>
  </si>
  <si>
    <t xml:space="preserve">spacenews.com (Quilty Space analysis)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</si>
</sst>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\$#,##0.0&quot;/W&quot;"/>
    <numFmt numFmtId="166" formatCode="0.00\x"/>
    <numFmt numFmtId="167" formatCode="0.00&quot;x vs terr&quot;"/>
    <numFmt numFmtId="168" formatCode="\$#,##0"/>
    <numFmt numFmtId="169" formatCode="\$#,##0.00"/>
    <numFmt numFmtId="170" formatCode="#,##0.00&quot; GW&quot;"/>
    <numFmt numFmtId="171" formatCode="\$#,##0&quot; M&quot;"/>
    <numFmt numFmtId="172" formatCode="\$#,##0.00&quot; M&quot;"/>
    <numFmt numFmtId="173" formatCode="#,##0&quot; K&quot;"/>
    <numFmt numFmtId="174" formatCode="#,##0&quot; t&quot;"/>
    <numFmt numFmtId="175" formatCode="0.0%"/>
    <numFmt numFmtId="176" formatCode="#,##0"/>
    <numFmt numFmtId="177" formatCode="#,##0.0"/>
    <numFmt numFmtId="178" formatCode="\$#,##0.0000"/>
    <numFmt numFmtId="179" formatCode="#,##0.00"/>
    <numFmt numFmtId="180" formatCode="0.000"/>
    <numFmt numFmtId="181" formatCode="\$#,##0.000"/>
    <numFmt numFmtId="182" formatCode="0.0\x"/>
    <numFmt numFmtId="183" formatCode="0&quot; yr&quot;"/>
    <numFmt numFmtId="184" formatCode="0&quot; t&quot;"/>
    <numFmt numFmtId="185" formatCode="\$#,##0&quot;/kg&quot;"/>
    <numFmt numFmtId="186" formatCode="0"/>
    <numFmt numFmtId="187" formatCode="\$#,##0.0"/>
    <numFmt numFmtId="188" formatCode="0%"/>
    <numFmt numFmtId="189" formatCode="0.00"/>
    <numFmt numFmtId="190" formatCode="0.000E+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i val="true"/>
      <sz val="9"/>
      <color rgb="FF555555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008000"/>
      <name val="Arial"/>
      <family val="2"/>
      <charset val="1"/>
    </font>
    <font>
      <sz val="9"/>
      <color rgb="FF555555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0000FF"/>
      <name val="Arial"/>
      <family val="2"/>
      <charset val="1"/>
    </font>
    <font>
      <b val="true"/>
      <sz val="15"/>
      <color rgb="FF1F3864"/>
      <name val="Arial"/>
      <family val="2"/>
      <charset val="1"/>
    </font>
    <font>
      <i val="true"/>
      <sz val="9"/>
      <color rgb="FF595959"/>
      <name val="Arial"/>
      <family val="2"/>
      <charset val="1"/>
    </font>
    <font>
      <i val="true"/>
      <sz val="9"/>
      <color rgb="FFC00000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b val="true"/>
      <sz val="9"/>
      <color rgb="FF996600"/>
      <name val="Arial"/>
      <family val="2"/>
      <charset val="1"/>
    </font>
    <font>
      <sz val="8"/>
      <color rgb="FF595959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9"/>
      <color rgb="FFC00000"/>
      <name val="Arial"/>
      <family val="2"/>
      <charset val="1"/>
    </font>
    <font>
      <b val="true"/>
      <sz val="9"/>
      <color rgb="FF2E7D32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9"/>
      <color rgb="FF7030A0"/>
      <name val="Arial"/>
      <family val="2"/>
      <charset val="1"/>
    </font>
    <font>
      <i val="true"/>
      <sz val="8"/>
      <color rgb="FF808080"/>
      <name val="Arial"/>
      <family val="2"/>
      <charset val="1"/>
    </font>
    <font>
      <sz val="10"/>
      <color rgb="FF008000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color rgb="FF1F3864"/>
      <name val="Arial"/>
      <family val="2"/>
      <charset val="1"/>
    </font>
    <font>
      <b val="true"/>
      <sz val="12"/>
      <color rgb="FF1F3864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sz val="8"/>
      <color rgb="FF1F3864"/>
      <name val="Arial"/>
      <family val="2"/>
      <charset val="1"/>
    </font>
    <font>
      <b val="true"/>
      <sz val="11"/>
      <color rgb="FF2E5496"/>
      <name val="Arial"/>
      <family val="2"/>
      <charset val="1"/>
    </font>
    <font>
      <sz val="9"/>
      <color rgb="FF0000F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3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966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6100"/>
      <rgbColor rgb="FF333300"/>
      <rgbColor rgb="FF993300"/>
      <rgbColor rgb="FF993366"/>
      <rgbColor rgb="FF2E549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21.75" hidden="false" customHeight="true" outlineLevel="0" collapsed="false">
      <c r="B1" s="1" t="s">
        <v>0</v>
      </c>
      <c r="C1" s="1"/>
      <c r="D1" s="1"/>
      <c r="E1" s="1"/>
    </row>
    <row r="2" customFormat="false" ht="15" hidden="false" customHeight="true" outlineLevel="0" collapsed="false">
      <c r="B2" s="2" t="s">
        <v>1</v>
      </c>
      <c r="C2" s="2"/>
      <c r="D2" s="2"/>
      <c r="E2" s="2"/>
    </row>
    <row r="4" customFormat="false" ht="15" hidden="false" customHeight="true" outlineLevel="0" collapsed="false">
      <c r="B4" s="3" t="s">
        <v>2</v>
      </c>
      <c r="C4" s="3"/>
      <c r="D4" s="3"/>
      <c r="E4" s="3"/>
    </row>
    <row r="5" customFormat="false" ht="15" hidden="false" customHeight="true" outlineLevel="0" collapsed="false">
      <c r="B5" s="0" t="s">
        <v>3</v>
      </c>
      <c r="C5" s="4" t="n">
        <f aca="false">'A1 Orbital'!C26</f>
        <v>81.3972602739726</v>
      </c>
    </row>
    <row r="6" customFormat="false" ht="15" hidden="false" customHeight="true" outlineLevel="0" collapsed="false">
      <c r="B6" s="0" t="s">
        <v>4</v>
      </c>
      <c r="C6" s="4" t="n">
        <f aca="false">'A1 Terrestrial'!C19</f>
        <v>38</v>
      </c>
    </row>
    <row r="7" customFormat="false" ht="15" hidden="false" customHeight="true" outlineLevel="0" collapsed="false">
      <c r="B7" s="0" t="s">
        <v>5</v>
      </c>
      <c r="C7" s="5" t="n">
        <f aca="false">'A1 Orbital'!C26/'A1 Terrestrial'!C19</f>
        <v>2.14203316510454</v>
      </c>
    </row>
    <row r="8" customFormat="false" ht="15" hidden="false" customHeight="true" outlineLevel="0" collapsed="false">
      <c r="B8" s="0" t="s">
        <v>6</v>
      </c>
      <c r="C8" s="6" t="n">
        <f aca="false">'A1 EffCompute'!E15</f>
        <v>2.162358717394</v>
      </c>
    </row>
    <row r="9" customFormat="false" ht="15" hidden="false" customHeight="true" outlineLevel="0" collapsed="false">
      <c r="B9" s="0" t="s">
        <v>7</v>
      </c>
      <c r="C9" s="6" t="n">
        <f aca="false">'A1 EffCompute'!D15</f>
        <v>4.8653071141365</v>
      </c>
      <c r="E9" s="7" t="s">
        <v>8</v>
      </c>
    </row>
    <row r="11" customFormat="false" ht="15" hidden="false" customHeight="true" outlineLevel="0" collapsed="false">
      <c r="B11" s="3" t="s">
        <v>9</v>
      </c>
      <c r="C11" s="3"/>
      <c r="D11" s="3"/>
      <c r="E11" s="3"/>
    </row>
    <row r="12" customFormat="false" ht="15" hidden="false" customHeight="true" outlineLevel="0" collapsed="false">
      <c r="B12" s="0" t="s">
        <v>10</v>
      </c>
      <c r="C12" s="8" t="n">
        <f aca="false">'A2 BuildVsBuy'!C22</f>
        <v>933946.483886423</v>
      </c>
      <c r="E12" s="7" t="s">
        <v>11</v>
      </c>
    </row>
    <row r="13" customFormat="false" ht="15" hidden="false" customHeight="true" outlineLevel="0" collapsed="false">
      <c r="B13" s="0" t="s">
        <v>12</v>
      </c>
      <c r="C13" s="9" t="n">
        <f aca="false">'A2 BuildVsBuy'!C23</f>
        <v>1.96462917833725</v>
      </c>
    </row>
    <row r="15" customFormat="false" ht="15" hidden="false" customHeight="true" outlineLevel="0" collapsed="false">
      <c r="B15" s="3" t="s">
        <v>13</v>
      </c>
      <c r="C15" s="3"/>
      <c r="D15" s="3"/>
      <c r="E15" s="3"/>
    </row>
    <row r="16" customFormat="false" ht="15" hidden="false" customHeight="true" outlineLevel="0" collapsed="false">
      <c r="B16" s="0" t="s">
        <v>14</v>
      </c>
      <c r="C16" s="10" t="n">
        <f aca="false">'A3 Ramp'!C25</f>
        <v>1.1581760146875</v>
      </c>
    </row>
    <row r="17" customFormat="false" ht="15" hidden="false" customHeight="true" outlineLevel="0" collapsed="false">
      <c r="B17" s="0" t="s">
        <v>15</v>
      </c>
      <c r="C17" s="11" t="n">
        <f aca="false">'A3 Ramp'!C26</f>
        <v>23538.2027160197</v>
      </c>
    </row>
    <row r="18" customFormat="false" ht="15" hidden="false" customHeight="true" outlineLevel="0" collapsed="false">
      <c r="B18" s="0" t="s">
        <v>16</v>
      </c>
      <c r="C18" s="12" t="n">
        <f aca="false">'A3 Ramp'!C27</f>
        <v>0.599442111153758</v>
      </c>
      <c r="E18" s="7" t="s">
        <v>17</v>
      </c>
    </row>
    <row r="20" customFormat="false" ht="15" hidden="false" customHeight="true" outlineLevel="0" collapsed="false">
      <c r="B20" s="3" t="s">
        <v>18</v>
      </c>
      <c r="C20" s="3"/>
      <c r="D20" s="3"/>
      <c r="E20" s="3"/>
    </row>
    <row r="21" customFormat="false" ht="15" hidden="false" customHeight="true" outlineLevel="0" collapsed="false">
      <c r="B21" s="0" t="s">
        <v>19</v>
      </c>
      <c r="C21" s="13" t="n">
        <f aca="false">'RAD Model'!C14</f>
        <v>347.149746487973</v>
      </c>
    </row>
    <row r="22" customFormat="false" ht="15" hidden="false" customHeight="true" outlineLevel="0" collapsed="false">
      <c r="B22" s="0" t="s">
        <v>20</v>
      </c>
      <c r="C22" s="13" t="n">
        <f aca="false">'RAD Model'!C15</f>
        <v>10.8502535120267</v>
      </c>
      <c r="E22" s="7" t="s">
        <v>21</v>
      </c>
    </row>
    <row r="23" customFormat="false" ht="15" hidden="false" customHeight="true" outlineLevel="0" collapsed="false">
      <c r="B23" s="0" t="s">
        <v>22</v>
      </c>
      <c r="C23" s="14" t="n">
        <f aca="false">'A1 Orbital'!C13/1000</f>
        <v>5000</v>
      </c>
    </row>
    <row r="25" customFormat="false" ht="15" hidden="false" customHeight="true" outlineLevel="0" collapsed="false">
      <c r="B25" s="15" t="s">
        <v>23</v>
      </c>
      <c r="C25" s="15"/>
      <c r="D25" s="15"/>
      <c r="E25" s="15"/>
    </row>
    <row r="26" customFormat="false" ht="15" hidden="false" customHeight="true" outlineLevel="0" collapsed="false">
      <c r="B26" s="15"/>
      <c r="C26" s="15"/>
      <c r="D26" s="15"/>
      <c r="E26" s="15"/>
    </row>
    <row r="27" customFormat="false" ht="15" hidden="false" customHeight="true" outlineLevel="0" collapsed="false">
      <c r="B27" s="15"/>
      <c r="C27" s="15"/>
      <c r="D27" s="15"/>
      <c r="E27" s="15"/>
    </row>
  </sheetData>
  <mergeCells count="3">
    <mergeCell ref="B1:E1"/>
    <mergeCell ref="B2:E2"/>
    <mergeCell ref="B25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4"/>
  </cols>
  <sheetData>
    <row r="1" customFormat="false" ht="15.75" hidden="false" customHeight="true" outlineLevel="0" collapsed="false">
      <c r="B1" s="16" t="s">
        <v>24</v>
      </c>
      <c r="C1" s="16"/>
      <c r="D1" s="16"/>
      <c r="E1" s="16"/>
      <c r="F1" s="16"/>
    </row>
    <row r="2" customFormat="false" ht="15" hidden="false" customHeight="true" outlineLevel="0" collapsed="false">
      <c r="B2" s="2" t="s">
        <v>25</v>
      </c>
      <c r="C2" s="2"/>
      <c r="D2" s="2"/>
      <c r="E2" s="2"/>
      <c r="F2" s="2"/>
    </row>
    <row r="3" customFormat="false" ht="15" hidden="false" customHeight="true" outlineLevel="0" collapsed="false"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</row>
    <row r="5" customFormat="false" ht="15" hidden="false" customHeight="true" outlineLevel="0" collapsed="false">
      <c r="B5" s="17" t="s">
        <v>31</v>
      </c>
    </row>
    <row r="6" customFormat="false" ht="15" hidden="false" customHeight="true" outlineLevel="0" collapsed="false">
      <c r="B6" s="0" t="s">
        <v>32</v>
      </c>
      <c r="C6" s="18" t="n">
        <v>0.12</v>
      </c>
      <c r="D6" s="7" t="s">
        <v>33</v>
      </c>
      <c r="E6" s="7" t="s">
        <v>34</v>
      </c>
      <c r="F6" s="7" t="s">
        <v>35</v>
      </c>
    </row>
    <row r="7" customFormat="false" ht="15" hidden="false" customHeight="true" outlineLevel="0" collapsed="false">
      <c r="B7" s="0" t="s">
        <v>36</v>
      </c>
      <c r="C7" s="19" t="n">
        <v>1000</v>
      </c>
      <c r="D7" s="7" t="s">
        <v>37</v>
      </c>
      <c r="E7" s="7" t="s">
        <v>38</v>
      </c>
      <c r="F7" s="7" t="s">
        <v>39</v>
      </c>
    </row>
    <row r="8" customFormat="false" ht="15" hidden="false" customHeight="true" outlineLevel="0" collapsed="false">
      <c r="B8" s="0" t="s">
        <v>40</v>
      </c>
      <c r="C8" s="20" t="n">
        <v>1000</v>
      </c>
      <c r="D8" s="7" t="s">
        <v>41</v>
      </c>
      <c r="E8" s="7" t="s">
        <v>42</v>
      </c>
      <c r="F8" s="7" t="s">
        <v>43</v>
      </c>
    </row>
    <row r="10" customFormat="false" ht="15" hidden="false" customHeight="true" outlineLevel="0" collapsed="false">
      <c r="B10" s="17" t="s">
        <v>44</v>
      </c>
    </row>
    <row r="11" customFormat="false" ht="15" hidden="false" customHeight="true" outlineLevel="0" collapsed="false">
      <c r="B11" s="0" t="s">
        <v>45</v>
      </c>
      <c r="C11" s="20" t="n">
        <v>120</v>
      </c>
      <c r="D11" s="7" t="s">
        <v>46</v>
      </c>
      <c r="E11" s="7" t="s">
        <v>47</v>
      </c>
      <c r="F11" s="7" t="s">
        <v>48</v>
      </c>
    </row>
    <row r="12" customFormat="false" ht="15" hidden="false" customHeight="true" outlineLevel="0" collapsed="false">
      <c r="B12" s="0" t="s">
        <v>49</v>
      </c>
      <c r="C12" s="20" t="n">
        <v>70</v>
      </c>
      <c r="D12" s="7" t="s">
        <v>50</v>
      </c>
      <c r="E12" s="7" t="s">
        <v>47</v>
      </c>
      <c r="F12" s="7" t="s">
        <v>48</v>
      </c>
    </row>
    <row r="13" customFormat="false" ht="15" hidden="false" customHeight="true" outlineLevel="0" collapsed="false">
      <c r="B13" s="0" t="s">
        <v>51</v>
      </c>
      <c r="C13" s="20" t="n">
        <v>1400</v>
      </c>
      <c r="D13" s="7" t="s">
        <v>52</v>
      </c>
      <c r="E13" s="7" t="s">
        <v>47</v>
      </c>
      <c r="F13" s="7" t="s">
        <v>43</v>
      </c>
    </row>
    <row r="15" customFormat="false" ht="15" hidden="false" customHeight="true" outlineLevel="0" collapsed="false">
      <c r="B15" s="21" t="s">
        <v>53</v>
      </c>
      <c r="C15" s="21"/>
      <c r="D15" s="21"/>
      <c r="E15" s="21"/>
      <c r="F15" s="21"/>
    </row>
    <row r="16" customFormat="false" ht="15" hidden="false" customHeight="true" outlineLevel="0" collapsed="false">
      <c r="B16" s="21"/>
      <c r="C16" s="21"/>
      <c r="D16" s="21"/>
      <c r="E16" s="21"/>
      <c r="F16" s="21"/>
    </row>
  </sheetData>
  <mergeCells count="3">
    <mergeCell ref="B1:F1"/>
    <mergeCell ref="B2:F2"/>
    <mergeCell ref="B15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6" style="0" width="60"/>
  </cols>
  <sheetData>
    <row r="2" customFormat="false" ht="18" hidden="false" customHeight="true" outlineLevel="0" collapsed="false">
      <c r="B2" s="22" t="s">
        <v>54</v>
      </c>
    </row>
    <row r="3" customFormat="false" ht="15" hidden="false" customHeight="true" outlineLevel="0" collapsed="false">
      <c r="B3" s="23" t="s">
        <v>55</v>
      </c>
    </row>
    <row r="4" customFormat="false" ht="15" hidden="false" customHeight="true" outlineLevel="0" collapsed="false">
      <c r="B4" s="24" t="s">
        <v>56</v>
      </c>
    </row>
    <row r="5" customFormat="false" ht="15" hidden="false" customHeight="true" outlineLevel="0" collapsed="false">
      <c r="B5" s="25" t="s">
        <v>57</v>
      </c>
      <c r="C5" s="25"/>
      <c r="D5" s="25"/>
      <c r="E5" s="25"/>
      <c r="F5" s="25"/>
    </row>
    <row r="6" customFormat="false" ht="15" hidden="false" customHeight="true" outlineLevel="0" collapsed="false">
      <c r="B6" s="26" t="s">
        <v>58</v>
      </c>
      <c r="C6" s="27" t="n">
        <f aca="false">'Global Assumptions'!$C$8</f>
        <v>1000</v>
      </c>
      <c r="D6" s="28" t="s">
        <v>41</v>
      </c>
      <c r="E6" s="29" t="s">
        <v>42</v>
      </c>
      <c r="F6" s="30" t="s">
        <v>59</v>
      </c>
    </row>
    <row r="7" customFormat="false" ht="15" hidden="false" customHeight="true" outlineLevel="0" collapsed="false">
      <c r="B7" s="26" t="s">
        <v>60</v>
      </c>
      <c r="C7" s="31" t="n">
        <v>10</v>
      </c>
      <c r="D7" s="28" t="s">
        <v>61</v>
      </c>
      <c r="E7" s="29" t="s">
        <v>42</v>
      </c>
      <c r="F7" s="30" t="s">
        <v>62</v>
      </c>
    </row>
    <row r="8" customFormat="false" ht="15" hidden="false" customHeight="true" outlineLevel="0" collapsed="false">
      <c r="B8" s="26" t="s">
        <v>32</v>
      </c>
      <c r="C8" s="32" t="n">
        <f aca="false">'Global Assumptions'!$C$6</f>
        <v>0.12</v>
      </c>
      <c r="D8" s="28" t="s">
        <v>33</v>
      </c>
      <c r="E8" s="33" t="s">
        <v>34</v>
      </c>
      <c r="F8" s="30" t="s">
        <v>63</v>
      </c>
    </row>
    <row r="10" customFormat="false" ht="15" hidden="false" customHeight="true" outlineLevel="0" collapsed="false">
      <c r="B10" s="25" t="s">
        <v>64</v>
      </c>
      <c r="C10" s="25"/>
      <c r="D10" s="25"/>
      <c r="E10" s="25"/>
      <c r="F10" s="25"/>
    </row>
    <row r="11" customFormat="false" ht="15" hidden="false" customHeight="true" outlineLevel="0" collapsed="false">
      <c r="B11" s="26" t="s">
        <v>36</v>
      </c>
      <c r="C11" s="34" t="n">
        <f aca="false">'Global Assumptions'!$C$7</f>
        <v>1000</v>
      </c>
      <c r="D11" s="28" t="s">
        <v>37</v>
      </c>
      <c r="E11" s="33" t="s">
        <v>38</v>
      </c>
      <c r="F11" s="30" t="s">
        <v>65</v>
      </c>
    </row>
    <row r="12" customFormat="false" ht="15" hidden="false" customHeight="true" outlineLevel="0" collapsed="false">
      <c r="B12" s="26" t="s">
        <v>66</v>
      </c>
      <c r="C12" s="35" t="n">
        <v>36.5</v>
      </c>
      <c r="D12" s="28" t="s">
        <v>67</v>
      </c>
      <c r="E12" s="36" t="s">
        <v>42</v>
      </c>
      <c r="F12" s="30" t="s">
        <v>68</v>
      </c>
    </row>
    <row r="14" customFormat="false" ht="15" hidden="false" customHeight="true" outlineLevel="0" collapsed="false">
      <c r="B14" s="25" t="s">
        <v>69</v>
      </c>
      <c r="C14" s="25"/>
      <c r="D14" s="25"/>
      <c r="E14" s="25"/>
      <c r="F14" s="25"/>
    </row>
    <row r="15" customFormat="false" ht="15" hidden="false" customHeight="true" outlineLevel="0" collapsed="false">
      <c r="B15" s="26" t="s">
        <v>70</v>
      </c>
      <c r="C15" s="37" t="n">
        <f aca="false">25*1.4</f>
        <v>35</v>
      </c>
      <c r="D15" s="28" t="s">
        <v>71</v>
      </c>
      <c r="E15" s="29" t="s">
        <v>42</v>
      </c>
      <c r="F15" s="30" t="s">
        <v>72</v>
      </c>
    </row>
    <row r="16" customFormat="false" ht="15" hidden="false" customHeight="true" outlineLevel="0" collapsed="false">
      <c r="B16" s="26" t="s">
        <v>73</v>
      </c>
      <c r="C16" s="38" t="n">
        <v>8</v>
      </c>
      <c r="D16" s="28" t="s">
        <v>71</v>
      </c>
      <c r="E16" s="29" t="s">
        <v>42</v>
      </c>
      <c r="F16" s="30" t="s">
        <v>74</v>
      </c>
    </row>
    <row r="17" customFormat="false" ht="15" hidden="false" customHeight="true" outlineLevel="0" collapsed="false">
      <c r="B17" s="26" t="s">
        <v>75</v>
      </c>
      <c r="C17" s="38" t="n">
        <v>6</v>
      </c>
      <c r="D17" s="28" t="s">
        <v>71</v>
      </c>
      <c r="E17" s="29" t="s">
        <v>42</v>
      </c>
      <c r="F17" s="30" t="s">
        <v>76</v>
      </c>
    </row>
    <row r="18" customFormat="false" ht="15" hidden="false" customHeight="true" outlineLevel="0" collapsed="false"/>
    <row r="19" customFormat="false" ht="15" hidden="false" customHeight="true" outlineLevel="0" collapsed="false">
      <c r="B19" s="26" t="s">
        <v>77</v>
      </c>
      <c r="C19" s="39" t="n">
        <f aca="false">SUM(C15:C17)</f>
        <v>49</v>
      </c>
      <c r="D19" s="28" t="s">
        <v>71</v>
      </c>
      <c r="E19" s="29" t="s">
        <v>42</v>
      </c>
      <c r="F19" s="30" t="s">
        <v>78</v>
      </c>
    </row>
    <row r="20" customFormat="false" ht="15" hidden="false" customHeight="true" outlineLevel="0" collapsed="false">
      <c r="B20" s="26" t="s">
        <v>79</v>
      </c>
      <c r="C20" s="40" t="n">
        <v>0.025</v>
      </c>
    </row>
    <row r="21" customFormat="false" ht="15" hidden="false" customHeight="true" outlineLevel="0" collapsed="false">
      <c r="B21" s="26" t="s">
        <v>80</v>
      </c>
      <c r="C21" s="40" t="n">
        <v>0.09</v>
      </c>
      <c r="D21" s="28" t="s">
        <v>33</v>
      </c>
      <c r="E21" s="29" t="s">
        <v>42</v>
      </c>
      <c r="F21" s="30" t="s">
        <v>81</v>
      </c>
    </row>
    <row r="22" customFormat="false" ht="15" hidden="false" customHeight="true" outlineLevel="0" collapsed="false">
      <c r="B22" s="26" t="s">
        <v>82</v>
      </c>
      <c r="C22" s="40" t="n">
        <v>0.01</v>
      </c>
      <c r="D22" s="28" t="s">
        <v>83</v>
      </c>
      <c r="E22" s="33" t="s">
        <v>34</v>
      </c>
      <c r="F22" s="30" t="s">
        <v>84</v>
      </c>
    </row>
    <row r="24" customFormat="false" ht="15" hidden="false" customHeight="true" outlineLevel="0" collapsed="false">
      <c r="B24" s="25" t="s">
        <v>85</v>
      </c>
      <c r="C24" s="25"/>
      <c r="D24" s="25"/>
      <c r="E24" s="25"/>
      <c r="F24" s="25"/>
    </row>
    <row r="25" customFormat="false" ht="15" hidden="false" customHeight="true" outlineLevel="0" collapsed="false">
      <c r="B25" s="26" t="s">
        <v>86</v>
      </c>
      <c r="C25" s="27" t="n">
        <f aca="false">'Global Assumptions'!$C$13</f>
        <v>1400</v>
      </c>
      <c r="D25" s="28" t="s">
        <v>52</v>
      </c>
      <c r="E25" s="41" t="s">
        <v>47</v>
      </c>
      <c r="F25" s="30" t="s">
        <v>87</v>
      </c>
    </row>
    <row r="26" customFormat="false" ht="15" hidden="false" customHeight="true" outlineLevel="0" collapsed="false">
      <c r="B26" s="26" t="s">
        <v>88</v>
      </c>
      <c r="C26" s="42" t="n">
        <v>7</v>
      </c>
      <c r="D26" s="28" t="s">
        <v>89</v>
      </c>
      <c r="E26" s="29" t="s">
        <v>42</v>
      </c>
      <c r="F26" s="30" t="s">
        <v>90</v>
      </c>
    </row>
    <row r="27" customFormat="false" ht="15" hidden="false" customHeight="true" outlineLevel="0" collapsed="false"/>
    <row r="28" customFormat="false" ht="15" hidden="false" customHeight="true" outlineLevel="0" collapsed="false">
      <c r="B28" s="43" t="s">
        <v>91</v>
      </c>
    </row>
    <row r="29" customFormat="false" ht="15" hidden="false" customHeight="true" outlineLevel="0" collapsed="false">
      <c r="B29" s="26" t="s">
        <v>92</v>
      </c>
      <c r="C29" s="44" t="n">
        <v>38000</v>
      </c>
      <c r="D29" s="28" t="s">
        <v>93</v>
      </c>
      <c r="E29" s="29" t="s">
        <v>42</v>
      </c>
      <c r="F29" s="30" t="s">
        <v>94</v>
      </c>
    </row>
    <row r="30" customFormat="false" ht="15" hidden="false" customHeight="true" outlineLevel="0" collapsed="false">
      <c r="B30" s="26" t="s">
        <v>95</v>
      </c>
      <c r="C30" s="31" t="n">
        <v>5</v>
      </c>
      <c r="D30" s="28" t="s">
        <v>61</v>
      </c>
      <c r="E30" s="29" t="s">
        <v>42</v>
      </c>
      <c r="F30" s="30" t="s">
        <v>96</v>
      </c>
    </row>
    <row r="31" customFormat="false" ht="15" hidden="false" customHeight="true" outlineLevel="0" collapsed="false">
      <c r="B31" s="26" t="s">
        <v>97</v>
      </c>
      <c r="C31" s="31" t="n">
        <v>14</v>
      </c>
      <c r="D31" s="28" t="s">
        <v>61</v>
      </c>
      <c r="E31" s="29" t="s">
        <v>42</v>
      </c>
      <c r="F31" s="30" t="s">
        <v>96</v>
      </c>
    </row>
    <row r="32" customFormat="false" ht="15" hidden="false" customHeight="true" outlineLevel="0" collapsed="false">
      <c r="B32" s="26" t="s">
        <v>98</v>
      </c>
      <c r="C32" s="40" t="n">
        <v>0.6</v>
      </c>
      <c r="D32" s="28" t="s">
        <v>99</v>
      </c>
      <c r="E32" s="29" t="s">
        <v>42</v>
      </c>
      <c r="F32" s="30" t="s">
        <v>100</v>
      </c>
    </row>
    <row r="33" customFormat="false" ht="15" hidden="false" customHeight="true" outlineLevel="0" collapsed="false">
      <c r="B33" s="26" t="s">
        <v>101</v>
      </c>
      <c r="C33" s="45" t="n">
        <v>0.0834</v>
      </c>
    </row>
    <row r="34" customFormat="false" ht="15" hidden="false" customHeight="true" outlineLevel="0" collapsed="false">
      <c r="B34" s="26" t="s">
        <v>102</v>
      </c>
      <c r="C34" s="46" t="n">
        <v>1.15</v>
      </c>
      <c r="D34" s="28" t="s">
        <v>103</v>
      </c>
      <c r="E34" s="29" t="s">
        <v>42</v>
      </c>
      <c r="F34" s="30" t="s">
        <v>104</v>
      </c>
    </row>
    <row r="35" customFormat="false" ht="15" hidden="false" customHeight="true" outlineLevel="0" collapsed="false">
      <c r="B35" s="26" t="s">
        <v>105</v>
      </c>
      <c r="C35" s="40" t="n">
        <v>0.02</v>
      </c>
      <c r="D35" s="28" t="s">
        <v>83</v>
      </c>
      <c r="E35" s="29" t="s">
        <v>42</v>
      </c>
      <c r="F35" s="30" t="s">
        <v>106</v>
      </c>
    </row>
    <row r="36" customFormat="false" ht="15" hidden="false" customHeight="true" outlineLevel="0" collapsed="false"/>
    <row r="37" customFormat="false" ht="15" hidden="false" customHeight="true" outlineLevel="0" collapsed="false">
      <c r="B37" s="43" t="s">
        <v>107</v>
      </c>
    </row>
    <row r="38" customFormat="false" ht="15" hidden="false" customHeight="true" outlineLevel="0" collapsed="false">
      <c r="B38" s="26" t="s">
        <v>108</v>
      </c>
      <c r="C38" s="46" t="n">
        <v>1.45</v>
      </c>
      <c r="D38" s="28" t="s">
        <v>109</v>
      </c>
      <c r="E38" s="36" t="s">
        <v>110</v>
      </c>
      <c r="F38" s="30" t="s">
        <v>111</v>
      </c>
    </row>
    <row r="39" customFormat="false" ht="15" hidden="false" customHeight="true" outlineLevel="0" collapsed="false">
      <c r="B39" s="26" t="s">
        <v>112</v>
      </c>
      <c r="C39" s="40" t="n">
        <v>0.45</v>
      </c>
      <c r="D39" s="28" t="s">
        <v>99</v>
      </c>
      <c r="E39" s="36" t="s">
        <v>110</v>
      </c>
      <c r="F39" s="30" t="s">
        <v>113</v>
      </c>
    </row>
    <row r="40" customFormat="false" ht="15" hidden="false" customHeight="true" outlineLevel="0" collapsed="false">
      <c r="B40" s="26" t="s">
        <v>114</v>
      </c>
      <c r="C40" s="47" t="n">
        <v>0.2</v>
      </c>
      <c r="D40" s="28" t="s">
        <v>99</v>
      </c>
      <c r="E40" s="33" t="s">
        <v>34</v>
      </c>
      <c r="F40" s="30" t="s">
        <v>115</v>
      </c>
    </row>
    <row r="41" customFormat="false" ht="15" hidden="false" customHeight="true" outlineLevel="0" collapsed="false">
      <c r="B41" s="26" t="s">
        <v>116</v>
      </c>
      <c r="C41" s="40" t="n">
        <v>0.45</v>
      </c>
      <c r="D41" s="28" t="s">
        <v>99</v>
      </c>
      <c r="E41" s="33" t="s">
        <v>34</v>
      </c>
      <c r="F41" s="30" t="s">
        <v>117</v>
      </c>
    </row>
    <row r="44" customFormat="false" ht="15" hidden="false" customHeight="true" outlineLevel="0" collapsed="false">
      <c r="B44" s="48" t="s">
        <v>118</v>
      </c>
    </row>
  </sheetData>
  <mergeCells count="4">
    <mergeCell ref="B5:F5"/>
    <mergeCell ref="B10:F10"/>
    <mergeCell ref="B14:F14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6" style="0" width="58"/>
  </cols>
  <sheetData>
    <row r="2" customFormat="false" ht="18" hidden="false" customHeight="true" outlineLevel="0" collapsed="false">
      <c r="B2" s="22" t="s">
        <v>119</v>
      </c>
    </row>
    <row r="4" customFormat="false" ht="15" hidden="false" customHeight="true" outlineLevel="0" collapsed="false">
      <c r="B4" s="26" t="s">
        <v>120</v>
      </c>
      <c r="C4" s="49" t="n">
        <f aca="false">'A1 Inputs'!$C$6*1000</f>
        <v>1000000</v>
      </c>
      <c r="D4" s="28" t="s">
        <v>121</v>
      </c>
      <c r="F4" s="30" t="s">
        <v>122</v>
      </c>
    </row>
    <row r="5" customFormat="false" ht="15" hidden="false" customHeight="true" outlineLevel="0" collapsed="false">
      <c r="B5" s="26" t="s">
        <v>123</v>
      </c>
      <c r="C5" s="50" t="n">
        <f aca="false">C4*1000/'A1 Inputs'!$C$12</f>
        <v>27397260.2739726</v>
      </c>
      <c r="D5" s="28" t="s">
        <v>124</v>
      </c>
      <c r="F5" s="30" t="s">
        <v>125</v>
      </c>
    </row>
    <row r="6" customFormat="false" ht="15" hidden="false" customHeight="true" outlineLevel="0" collapsed="false">
      <c r="B6" s="26" t="s">
        <v>126</v>
      </c>
      <c r="C6" s="50" t="n">
        <f aca="false">(C5+C13)/1000</f>
        <v>32397.2602739726</v>
      </c>
      <c r="D6" s="28" t="s">
        <v>127</v>
      </c>
    </row>
    <row r="7" customFormat="false" ht="15" hidden="false" customHeight="true" outlineLevel="0" collapsed="false">
      <c r="B7" s="26" t="s">
        <v>128</v>
      </c>
      <c r="C7" s="51" t="n">
        <f aca="false">(C5+C13)/1000/150</f>
        <v>215.981735159817</v>
      </c>
      <c r="D7" s="28" t="s">
        <v>129</v>
      </c>
    </row>
    <row r="9" customFormat="false" ht="15" hidden="false" customHeight="true" outlineLevel="0" collapsed="false">
      <c r="B9" s="26" t="s">
        <v>130</v>
      </c>
      <c r="C9" s="52" t="n">
        <f aca="false">C5*'A1 Inputs'!$C$11</f>
        <v>27397260273.9726</v>
      </c>
      <c r="D9" s="28" t="s">
        <v>131</v>
      </c>
      <c r="F9" s="30" t="s">
        <v>132</v>
      </c>
    </row>
    <row r="10" customFormat="false" ht="15" hidden="false" customHeight="true" outlineLevel="0" collapsed="false">
      <c r="B10" s="26" t="s">
        <v>133</v>
      </c>
      <c r="C10" s="52" t="n">
        <f aca="false">C4*1000*'A1 Inputs'!$C$19</f>
        <v>49000000000</v>
      </c>
      <c r="D10" s="28" t="s">
        <v>131</v>
      </c>
      <c r="F10" s="30" t="s">
        <v>134</v>
      </c>
    </row>
    <row r="11" customFormat="false" ht="15" hidden="false" customHeight="true" outlineLevel="0" collapsed="false">
      <c r="B11" s="26" t="s">
        <v>135</v>
      </c>
      <c r="C11" s="50" t="n">
        <f aca="false">C4</f>
        <v>1000000</v>
      </c>
      <c r="D11" s="28" t="s">
        <v>121</v>
      </c>
      <c r="F11" s="30" t="s">
        <v>136</v>
      </c>
    </row>
    <row r="12" customFormat="false" ht="15" hidden="false" customHeight="true" outlineLevel="0" collapsed="false">
      <c r="B12" s="26" t="s">
        <v>137</v>
      </c>
      <c r="C12" s="50" t="n">
        <f aca="false">C11*1000/'A1 Inputs'!$C$25</f>
        <v>714285.714285714</v>
      </c>
      <c r="D12" s="28" t="s">
        <v>138</v>
      </c>
      <c r="F12" s="30" t="s">
        <v>139</v>
      </c>
    </row>
    <row r="13" customFormat="false" ht="15" hidden="false" customHeight="true" outlineLevel="0" collapsed="false">
      <c r="B13" s="26" t="s">
        <v>140</v>
      </c>
      <c r="C13" s="50" t="n">
        <f aca="false">C12*'A1 Inputs'!$C$26</f>
        <v>5000000</v>
      </c>
      <c r="D13" s="28" t="s">
        <v>124</v>
      </c>
    </row>
    <row r="14" customFormat="false" ht="15" hidden="false" customHeight="true" outlineLevel="0" collapsed="false">
      <c r="B14" s="26" t="s">
        <v>141</v>
      </c>
      <c r="C14" s="52" t="n">
        <f aca="false">C13*'A1 Inputs'!$C$11</f>
        <v>5000000000</v>
      </c>
      <c r="D14" s="28" t="s">
        <v>131</v>
      </c>
      <c r="F14" s="30" t="s">
        <v>142</v>
      </c>
    </row>
    <row r="16" customFormat="false" ht="15" hidden="false" customHeight="true" outlineLevel="0" collapsed="false">
      <c r="B16" s="53" t="s">
        <v>143</v>
      </c>
      <c r="C16" s="54" t="n">
        <f aca="false">C9+C10+C14</f>
        <v>81397260273.9726</v>
      </c>
      <c r="D16" s="28" t="s">
        <v>131</v>
      </c>
    </row>
    <row r="18" customFormat="false" ht="15" hidden="false" customHeight="true" outlineLevel="0" collapsed="false">
      <c r="B18" s="26" t="s">
        <v>144</v>
      </c>
      <c r="C18" s="55" t="n">
        <f aca="false">'A1 Inputs'!$C$8*(1+'A1 Inputs'!$C$8)^'A1 Inputs'!$C$7/((1+'A1 Inputs'!$C$8)^'A1 Inputs'!$C$7-1)</f>
        <v>0.176984164159844</v>
      </c>
      <c r="D18" s="28" t="s">
        <v>103</v>
      </c>
      <c r="F18" s="30" t="s">
        <v>145</v>
      </c>
    </row>
    <row r="19" customFormat="false" ht="15" hidden="false" customHeight="true" outlineLevel="0" collapsed="false">
      <c r="B19" s="26" t="s">
        <v>146</v>
      </c>
      <c r="C19" s="52" t="n">
        <f aca="false">C16*C18</f>
        <v>14406026074.4903</v>
      </c>
      <c r="D19" s="28" t="s">
        <v>147</v>
      </c>
    </row>
    <row r="20" customFormat="false" ht="15" hidden="false" customHeight="true" outlineLevel="0" collapsed="false">
      <c r="B20" s="26" t="s">
        <v>148</v>
      </c>
      <c r="C20" s="52" t="n">
        <f aca="false">C10*'A1 Inputs'!$C$21</f>
        <v>4410000000</v>
      </c>
      <c r="D20" s="28" t="s">
        <v>147</v>
      </c>
      <c r="F20" s="30" t="s">
        <v>149</v>
      </c>
    </row>
    <row r="21" customFormat="false" ht="15" hidden="false" customHeight="true" outlineLevel="0" collapsed="false">
      <c r="B21" s="0" t="s">
        <v>150</v>
      </c>
      <c r="C21" s="52" t="n">
        <f aca="false">C5*'A1 Inputs'!$C$21*'A1 Inputs'!$C$11</f>
        <v>2465753424.65753</v>
      </c>
      <c r="D21" s="28" t="s">
        <v>147</v>
      </c>
      <c r="F21" s="30" t="s">
        <v>151</v>
      </c>
    </row>
    <row r="22" customFormat="false" ht="15" hidden="false" customHeight="true" outlineLevel="0" collapsed="false">
      <c r="B22" s="26" t="s">
        <v>152</v>
      </c>
      <c r="C22" s="52" t="n">
        <f aca="false">C16*'A1 Inputs'!$C$22</f>
        <v>813972602.739726</v>
      </c>
      <c r="D22" s="28" t="s">
        <v>147</v>
      </c>
    </row>
    <row r="23" customFormat="false" ht="15" hidden="false" customHeight="true" outlineLevel="0" collapsed="false"/>
    <row r="24" customFormat="false" ht="15" hidden="false" customHeight="true" outlineLevel="0" collapsed="false">
      <c r="B24" s="53" t="s">
        <v>153</v>
      </c>
      <c r="C24" s="54" t="n">
        <f aca="false">C19+C20+C21+C22</f>
        <v>22095752101.8876</v>
      </c>
      <c r="D24" s="28" t="s">
        <v>147</v>
      </c>
    </row>
    <row r="25" customFormat="false" ht="15" hidden="false" customHeight="true" outlineLevel="0" collapsed="false"/>
    <row r="26" customFormat="false" ht="15" hidden="false" customHeight="true" outlineLevel="0" collapsed="false">
      <c r="B26" s="53" t="s">
        <v>154</v>
      </c>
      <c r="C26" s="39" t="n">
        <f aca="false">C16/(C4*1000)</f>
        <v>81.3972602739726</v>
      </c>
      <c r="D26" s="28" t="s">
        <v>71</v>
      </c>
    </row>
    <row r="27" customFormat="false" ht="15" hidden="false" customHeight="true" outlineLevel="0" collapsed="false">
      <c r="B27" s="0" t="s">
        <v>155</v>
      </c>
      <c r="C27" s="56" t="n">
        <f aca="false">(1+(1-'A1 Inputs'!$C$20)^'A1 Inputs'!$C$7)/2</f>
        <v>0.888164810428219</v>
      </c>
      <c r="D27" s="28" t="s">
        <v>103</v>
      </c>
      <c r="F27" s="30" t="s">
        <v>156</v>
      </c>
    </row>
    <row r="28" customFormat="false" ht="15" hidden="false" customHeight="true" outlineLevel="0" collapsed="false">
      <c r="B28" s="53" t="s">
        <v>157</v>
      </c>
      <c r="C28" s="54" t="n">
        <f aca="false">C24/('A1 Inputs'!$C$6*C27)</f>
        <v>24877986.4305076</v>
      </c>
      <c r="D28" s="28" t="s">
        <v>158</v>
      </c>
    </row>
    <row r="29" customFormat="false" ht="15" hidden="false" customHeight="true" outlineLevel="0" collapsed="false"/>
    <row r="31" customFormat="false" ht="15" hidden="false" customHeight="true" outlineLevel="0" collapsed="false">
      <c r="B31" s="48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6" style="0" width="58"/>
  </cols>
  <sheetData>
    <row r="2" customFormat="false" ht="18" hidden="false" customHeight="true" outlineLevel="0" collapsed="false">
      <c r="B2" s="22" t="s">
        <v>159</v>
      </c>
    </row>
    <row r="4" customFormat="false" ht="15" hidden="false" customHeight="true" outlineLevel="0" collapsed="false">
      <c r="B4" s="26" t="s">
        <v>120</v>
      </c>
      <c r="C4" s="49" t="n">
        <f aca="false">'A1 Inputs'!$C$6*1000</f>
        <v>1000000</v>
      </c>
      <c r="D4" s="28" t="s">
        <v>121</v>
      </c>
    </row>
    <row r="5" customFormat="false" ht="15" hidden="false" customHeight="true" outlineLevel="0" collapsed="false">
      <c r="B5" s="26" t="s">
        <v>160</v>
      </c>
      <c r="C5" s="52" t="n">
        <f aca="false">C4*'A1 Inputs'!$C$29</f>
        <v>38000000000</v>
      </c>
      <c r="D5" s="28" t="s">
        <v>131</v>
      </c>
      <c r="F5" s="30" t="s">
        <v>161</v>
      </c>
    </row>
    <row r="6" customFormat="false" ht="15" hidden="false" customHeight="true" outlineLevel="0" collapsed="false">
      <c r="B6" s="26" t="s">
        <v>162</v>
      </c>
      <c r="C6" s="52" t="n">
        <f aca="false">C5*'A1 Inputs'!$C$32</f>
        <v>22800000000</v>
      </c>
      <c r="D6" s="28" t="s">
        <v>131</v>
      </c>
    </row>
    <row r="7" customFormat="false" ht="15" hidden="false" customHeight="true" outlineLevel="0" collapsed="false">
      <c r="B7" s="26" t="s">
        <v>163</v>
      </c>
      <c r="C7" s="52" t="n">
        <f aca="false">C5-C6</f>
        <v>15200000000</v>
      </c>
      <c r="D7" s="28" t="s">
        <v>131</v>
      </c>
    </row>
    <row r="9" customFormat="false" ht="15" hidden="false" customHeight="true" outlineLevel="0" collapsed="false">
      <c r="B9" s="26" t="s">
        <v>164</v>
      </c>
      <c r="C9" s="55" t="n">
        <f aca="false">'A1 Inputs'!$C$8*(1+'A1 Inputs'!$C$8)^'A1 Inputs'!$C$30/((1+'A1 Inputs'!$C$8)^'A1 Inputs'!$C$30-1)</f>
        <v>0.277409731941049</v>
      </c>
      <c r="D9" s="28" t="s">
        <v>103</v>
      </c>
    </row>
    <row r="10" customFormat="false" ht="15" hidden="false" customHeight="true" outlineLevel="0" collapsed="false">
      <c r="B10" s="26" t="s">
        <v>165</v>
      </c>
      <c r="C10" s="55" t="n">
        <f aca="false">'A1 Inputs'!$C$8*(1+'A1 Inputs'!$C$8)^'A1 Inputs'!$C$31/((1+'A1 Inputs'!$C$8)^'A1 Inputs'!$C$31-1)</f>
        <v>0.150871246107682</v>
      </c>
      <c r="D10" s="28" t="s">
        <v>103</v>
      </c>
    </row>
    <row r="11" customFormat="false" ht="15" hidden="false" customHeight="true" outlineLevel="0" collapsed="false">
      <c r="B11" s="26" t="s">
        <v>166</v>
      </c>
      <c r="C11" s="52" t="n">
        <f aca="false">C6*C9</f>
        <v>6324941888.25591</v>
      </c>
      <c r="D11" s="28" t="s">
        <v>147</v>
      </c>
    </row>
    <row r="12" customFormat="false" ht="15" hidden="false" customHeight="true" outlineLevel="0" collapsed="false">
      <c r="B12" s="26" t="s">
        <v>167</v>
      </c>
      <c r="C12" s="52" t="n">
        <f aca="false">C7*C10</f>
        <v>2293242940.83676</v>
      </c>
      <c r="D12" s="28" t="s">
        <v>147</v>
      </c>
    </row>
    <row r="14" customFormat="false" ht="15" hidden="false" customHeight="true" outlineLevel="0" collapsed="false">
      <c r="B14" s="26" t="s">
        <v>168</v>
      </c>
      <c r="C14" s="52" t="n">
        <f aca="false">C4*'A1 Inputs'!$C$34*8760*'A1 Inputs'!$C$33</f>
        <v>840171600</v>
      </c>
      <c r="D14" s="28" t="s">
        <v>147</v>
      </c>
      <c r="F14" s="30" t="s">
        <v>169</v>
      </c>
    </row>
    <row r="15" customFormat="false" ht="15" hidden="false" customHeight="true" outlineLevel="0" collapsed="false">
      <c r="B15" s="26" t="s">
        <v>105</v>
      </c>
      <c r="C15" s="52" t="n">
        <f aca="false">C5*'A1 Inputs'!$C$35</f>
        <v>760000000</v>
      </c>
      <c r="D15" s="28" t="s">
        <v>147</v>
      </c>
    </row>
    <row r="17" customFormat="false" ht="15" hidden="false" customHeight="true" outlineLevel="0" collapsed="false">
      <c r="B17" s="53" t="s">
        <v>153</v>
      </c>
      <c r="C17" s="54" t="n">
        <f aca="false">C11+C12+C14+C15</f>
        <v>10218356429.0927</v>
      </c>
      <c r="D17" s="28" t="s">
        <v>147</v>
      </c>
    </row>
    <row r="19" customFormat="false" ht="15" hidden="false" customHeight="true" outlineLevel="0" collapsed="false">
      <c r="B19" s="53" t="s">
        <v>154</v>
      </c>
      <c r="C19" s="39" t="n">
        <f aca="false">C5/(C4*1000)</f>
        <v>38</v>
      </c>
      <c r="D19" s="28" t="s">
        <v>71</v>
      </c>
    </row>
    <row r="20" customFormat="false" ht="15" hidden="false" customHeight="true" outlineLevel="0" collapsed="false">
      <c r="B20" s="53" t="s">
        <v>157</v>
      </c>
      <c r="C20" s="54" t="n">
        <f aca="false">C17/'A1 Inputs'!$C$6</f>
        <v>10218356.4290927</v>
      </c>
      <c r="D20" s="28" t="s">
        <v>158</v>
      </c>
    </row>
    <row r="23" customFormat="false" ht="15" hidden="false" customHeight="true" outlineLevel="0" collapsed="false">
      <c r="B23" s="48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7" style="0" width="50"/>
  </cols>
  <sheetData>
    <row r="2" customFormat="false" ht="18" hidden="false" customHeight="true" outlineLevel="0" collapsed="false">
      <c r="B2" s="22" t="s">
        <v>170</v>
      </c>
    </row>
    <row r="3" customFormat="false" ht="15" hidden="false" customHeight="true" outlineLevel="0" collapsed="false">
      <c r="B3" s="23" t="s">
        <v>171</v>
      </c>
    </row>
    <row r="5" customFormat="false" ht="15" hidden="false" customHeight="true" outlineLevel="0" collapsed="false">
      <c r="B5" s="43"/>
      <c r="C5" s="43" t="s">
        <v>172</v>
      </c>
      <c r="D5" s="43" t="s">
        <v>173</v>
      </c>
      <c r="E5" s="43" t="s">
        <v>174</v>
      </c>
    </row>
    <row r="6" customFormat="false" ht="15" hidden="false" customHeight="true" outlineLevel="0" collapsed="false">
      <c r="B6" s="57" t="s">
        <v>175</v>
      </c>
      <c r="C6" s="58" t="n">
        <f aca="false">'A1 Terrestrial'!C17</f>
        <v>10218356429.0927</v>
      </c>
      <c r="D6" s="58" t="n">
        <f aca="false">'A1 Orbital'!C24</f>
        <v>22095752101.8876</v>
      </c>
      <c r="E6" s="58" t="n">
        <f aca="false">'A1 Orbital'!C24</f>
        <v>22095752101.8876</v>
      </c>
      <c r="G6" s="30" t="s">
        <v>176</v>
      </c>
    </row>
    <row r="7" customFormat="false" ht="15" hidden="false" customHeight="true" outlineLevel="0" collapsed="false">
      <c r="B7" s="57" t="s">
        <v>177</v>
      </c>
      <c r="C7" s="59" t="n">
        <f aca="false">'A1 Inputs'!$C$6</f>
        <v>1000</v>
      </c>
      <c r="D7" s="59" t="n">
        <f aca="false">'A1 Inputs'!$C$6</f>
        <v>1000</v>
      </c>
      <c r="E7" s="59" t="n">
        <f aca="false">'A1 Inputs'!$C$6</f>
        <v>1000</v>
      </c>
      <c r="G7" s="30" t="s">
        <v>178</v>
      </c>
    </row>
    <row r="8" customFormat="false" ht="15" hidden="false" customHeight="true" outlineLevel="0" collapsed="false">
      <c r="B8" s="57" t="s">
        <v>179</v>
      </c>
      <c r="C8" s="59" t="n">
        <f aca="false">C7*1000*'A1 Inputs'!$C$38</f>
        <v>1450000</v>
      </c>
      <c r="D8" s="59" t="n">
        <f aca="false">D7*1000*'A1 Inputs'!$C$38</f>
        <v>1450000</v>
      </c>
      <c r="E8" s="59" t="n">
        <f aca="false">E7*1000*'A1 Inputs'!$C$38</f>
        <v>1450000</v>
      </c>
      <c r="G8" s="30" t="s">
        <v>180</v>
      </c>
    </row>
    <row r="9" customFormat="false" ht="15" hidden="false" customHeight="true" outlineLevel="0" collapsed="false">
      <c r="B9" s="57" t="s">
        <v>181</v>
      </c>
      <c r="C9" s="60" t="n">
        <f aca="false">'A1 Inputs'!$C$39</f>
        <v>0.45</v>
      </c>
      <c r="D9" s="60" t="n">
        <f aca="false">'A1 Inputs'!$C$40</f>
        <v>0.2</v>
      </c>
      <c r="E9" s="60" t="n">
        <f aca="false">'A1 Inputs'!$C$41</f>
        <v>0.45</v>
      </c>
      <c r="G9" s="30" t="s">
        <v>182</v>
      </c>
    </row>
    <row r="10" customFormat="false" ht="15" hidden="false" customHeight="true" outlineLevel="0" collapsed="false">
      <c r="B10" s="57" t="s">
        <v>183</v>
      </c>
      <c r="C10" s="59" t="n">
        <f aca="false">C8*C9</f>
        <v>652500</v>
      </c>
      <c r="D10" s="59" t="n">
        <f aca="false">D8*D9</f>
        <v>290000</v>
      </c>
      <c r="E10" s="59" t="n">
        <f aca="false">E8*E9</f>
        <v>652500</v>
      </c>
    </row>
    <row r="11" customFormat="false" ht="15" hidden="false" customHeight="true" outlineLevel="0" collapsed="false">
      <c r="B11" s="57" t="s">
        <v>184</v>
      </c>
      <c r="C11" s="59" t="n">
        <f aca="false">C10*8760</f>
        <v>5715900000</v>
      </c>
      <c r="D11" s="59" t="n">
        <f aca="false">D10*8760</f>
        <v>2540400000</v>
      </c>
      <c r="E11" s="59" t="n">
        <f aca="false">E10*8760</f>
        <v>5715900000</v>
      </c>
    </row>
    <row r="13" customFormat="false" ht="15" hidden="false" customHeight="true" outlineLevel="0" collapsed="false">
      <c r="B13" s="61" t="s">
        <v>185</v>
      </c>
      <c r="C13" s="62" t="n">
        <f aca="false">C6/C11</f>
        <v>1.78770734776547</v>
      </c>
      <c r="D13" s="62" t="n">
        <f aca="false">D6/D11</f>
        <v>8.69774527707746</v>
      </c>
      <c r="E13" s="62" t="n">
        <f aca="false">E6/E11</f>
        <v>3.86566456758998</v>
      </c>
    </row>
    <row r="15" customFormat="false" ht="15" hidden="false" customHeight="true" outlineLevel="0" collapsed="false">
      <c r="B15" s="57" t="s">
        <v>186</v>
      </c>
      <c r="C15" s="63" t="str">
        <f aca="false">"--"</f>
        <v>--</v>
      </c>
      <c r="D15" s="64" t="n">
        <f aca="false">D13/C13</f>
        <v>4.8653071141365</v>
      </c>
      <c r="E15" s="64" t="n">
        <f aca="false">E13/C13</f>
        <v>2.162358717394</v>
      </c>
    </row>
    <row r="18" customFormat="false" ht="15" hidden="false" customHeight="true" outlineLevel="0" collapsed="false">
      <c r="B18" s="25" t="s">
        <v>187</v>
      </c>
      <c r="C18" s="25"/>
      <c r="D18" s="25"/>
      <c r="E18" s="25"/>
      <c r="F18" s="25"/>
      <c r="G18" s="25"/>
    </row>
    <row r="19" customFormat="false" ht="15" hidden="false" customHeight="true" outlineLevel="0" collapsed="false">
      <c r="B19" s="65" t="s">
        <v>188</v>
      </c>
      <c r="C19" s="65"/>
      <c r="D19" s="65"/>
      <c r="E19" s="65"/>
      <c r="F19" s="65"/>
      <c r="G19" s="65"/>
    </row>
    <row r="20" customFormat="false" ht="15" hidden="false" customHeight="true" outlineLevel="0" collapsed="false">
      <c r="B20" s="65" t="s">
        <v>189</v>
      </c>
      <c r="C20" s="65"/>
      <c r="D20" s="65"/>
      <c r="E20" s="65"/>
      <c r="F20" s="65"/>
      <c r="G20" s="65"/>
    </row>
    <row r="21" customFormat="false" ht="15" hidden="false" customHeight="true" outlineLevel="0" collapsed="false">
      <c r="B21" s="65" t="s">
        <v>190</v>
      </c>
      <c r="C21" s="65"/>
      <c r="D21" s="65"/>
      <c r="E21" s="65"/>
      <c r="F21" s="65"/>
      <c r="G21" s="65"/>
    </row>
    <row r="22" customFormat="false" ht="15" hidden="false" customHeight="true" outlineLevel="0" collapsed="false">
      <c r="B22" s="65" t="s">
        <v>191</v>
      </c>
      <c r="C22" s="65"/>
      <c r="D22" s="65"/>
      <c r="E22" s="65"/>
      <c r="F22" s="65"/>
      <c r="G22" s="65"/>
    </row>
    <row r="23" customFormat="false" ht="15" hidden="false" customHeight="true" outlineLevel="0" collapsed="false">
      <c r="B23" s="65" t="s">
        <v>192</v>
      </c>
      <c r="C23" s="65"/>
      <c r="D23" s="65"/>
      <c r="E23" s="65"/>
      <c r="F23" s="65"/>
      <c r="G23" s="65"/>
    </row>
    <row r="24" customFormat="false" ht="15" hidden="false" customHeight="true" outlineLevel="0" collapsed="false">
      <c r="B24" s="65" t="s">
        <v>193</v>
      </c>
      <c r="C24" s="65"/>
      <c r="D24" s="65"/>
      <c r="E24" s="65"/>
      <c r="F24" s="65"/>
      <c r="G24" s="65"/>
    </row>
    <row r="27" customFormat="false" ht="15" hidden="false" customHeight="true" outlineLevel="0" collapsed="false">
      <c r="B27" s="48" t="s">
        <v>118</v>
      </c>
    </row>
  </sheetData>
  <mergeCells count="7">
    <mergeCell ref="B18:G18"/>
    <mergeCell ref="B19:G19"/>
    <mergeCell ref="B20:G20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7"/>
  <sheetViews>
    <sheetView showFormulas="false" showGridLines="false" showRowColHeaders="true" showZeros="true" rightToLeft="false" tabSelected="false" showOutlineSymbols="true" defaultGridColor="true" view="normal" topLeftCell="A60" colorId="64" zoomScale="100" zoomScaleNormal="100" zoomScalePageLayoutView="100" workbookViewId="0">
      <selection pane="topLeft" activeCell="M75" activeCellId="0" sqref="M75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3"/>
  </cols>
  <sheetData>
    <row r="2" customFormat="false" ht="18" hidden="false" customHeight="true" outlineLevel="0" collapsed="false">
      <c r="B2" s="22" t="s">
        <v>194</v>
      </c>
    </row>
    <row r="3" customFormat="false" ht="15" hidden="false" customHeight="true" outlineLevel="0" collapsed="false">
      <c r="B3" s="23" t="s">
        <v>195</v>
      </c>
    </row>
    <row r="5" customFormat="false" ht="15" hidden="false" customHeight="true" outlineLevel="0" collapsed="false">
      <c r="B5" s="53" t="s">
        <v>196</v>
      </c>
      <c r="D5" s="66" t="n">
        <f aca="false">'A1 Terrestrial'!C19</f>
        <v>38</v>
      </c>
    </row>
    <row r="7" customFormat="false" ht="15" hidden="false" customHeight="true" outlineLevel="0" collapsed="false">
      <c r="B7" s="53" t="s">
        <v>197</v>
      </c>
      <c r="C7" s="67" t="n">
        <v>50</v>
      </c>
      <c r="D7" s="67" t="n">
        <v>70</v>
      </c>
      <c r="E7" s="67" t="n">
        <v>100</v>
      </c>
      <c r="F7" s="67" t="n">
        <v>150</v>
      </c>
      <c r="G7" s="67" t="n">
        <v>250</v>
      </c>
      <c r="H7" s="67" t="n">
        <v>400</v>
      </c>
      <c r="I7" s="67" t="n">
        <v>700</v>
      </c>
    </row>
    <row r="8" customFormat="false" ht="15" hidden="false" customHeight="true" outlineLevel="0" collapsed="false">
      <c r="B8" s="68" t="n">
        <v>100</v>
      </c>
      <c r="C8" s="69" t="n">
        <f aca="false">(100/50 + 'A1 Inputs'!$C$19 + ('A1 Inputs'!$C$26/'A1 Inputs'!$C$25)*100) / $D$5</f>
        <v>1.35526315789474</v>
      </c>
      <c r="D8" s="69" t="n">
        <f aca="false">(100/70 + 'A1 Inputs'!$C$19 + ('A1 Inputs'!$C$26/'A1 Inputs'!$C$25)*100) / $D$5</f>
        <v>1.34022556390977</v>
      </c>
      <c r="E8" s="69" t="n">
        <f aca="false">(100/100 + 'A1 Inputs'!$C$19 + ('A1 Inputs'!$C$26/'A1 Inputs'!$C$25)*100) / $D$5</f>
        <v>1.32894736842105</v>
      </c>
      <c r="F8" s="69" t="n">
        <f aca="false">(100/150 + 'A1 Inputs'!$C$19 + ('A1 Inputs'!$C$26/'A1 Inputs'!$C$25)*100) / $D$5</f>
        <v>1.32017543859649</v>
      </c>
      <c r="G8" s="69" t="n">
        <f aca="false">(100/250 + 'A1 Inputs'!$C$19 + ('A1 Inputs'!$C$26/'A1 Inputs'!$C$25)*100) / $D$5</f>
        <v>1.31315789473684</v>
      </c>
      <c r="H8" s="69" t="n">
        <f aca="false">(100/400 + 'A1 Inputs'!$C$19 + ('A1 Inputs'!$C$26/'A1 Inputs'!$C$25)*100) / $D$5</f>
        <v>1.30921052631579</v>
      </c>
      <c r="I8" s="69" t="n">
        <f aca="false">(100/700 + 'A1 Inputs'!$C$19 + ('A1 Inputs'!$C$26/'A1 Inputs'!$C$25)*100) / $D$5</f>
        <v>1.30639097744361</v>
      </c>
    </row>
    <row r="9" customFormat="false" ht="15" hidden="false" customHeight="true" outlineLevel="0" collapsed="false">
      <c r="B9" s="68" t="n">
        <v>200</v>
      </c>
      <c r="C9" s="69" t="n">
        <f aca="false">(200/50 + 'A1 Inputs'!$C$19 + ('A1 Inputs'!$C$26/'A1 Inputs'!$C$25)*200) / $D$5</f>
        <v>1.42105263157895</v>
      </c>
      <c r="D9" s="69" t="n">
        <f aca="false">(200/70 + 'A1 Inputs'!$C$19 + ('A1 Inputs'!$C$26/'A1 Inputs'!$C$25)*200) / $D$5</f>
        <v>1.39097744360902</v>
      </c>
      <c r="E9" s="69" t="n">
        <f aca="false">(200/100 + 'A1 Inputs'!$C$19 + ('A1 Inputs'!$C$26/'A1 Inputs'!$C$25)*200) / $D$5</f>
        <v>1.36842105263158</v>
      </c>
      <c r="F9" s="69" t="n">
        <f aca="false">(200/150 + 'A1 Inputs'!$C$19 + ('A1 Inputs'!$C$26/'A1 Inputs'!$C$25)*200) / $D$5</f>
        <v>1.35087719298246</v>
      </c>
      <c r="G9" s="69" t="n">
        <f aca="false">(200/250 + 'A1 Inputs'!$C$19 + ('A1 Inputs'!$C$26/'A1 Inputs'!$C$25)*200) / $D$5</f>
        <v>1.33684210526316</v>
      </c>
      <c r="H9" s="69" t="n">
        <f aca="false">(200/400 + 'A1 Inputs'!$C$19 + ('A1 Inputs'!$C$26/'A1 Inputs'!$C$25)*200) / $D$5</f>
        <v>1.32894736842105</v>
      </c>
      <c r="I9" s="69" t="n">
        <f aca="false">(200/700 + 'A1 Inputs'!$C$19 + ('A1 Inputs'!$C$26/'A1 Inputs'!$C$25)*200) / $D$5</f>
        <v>1.32330827067669</v>
      </c>
    </row>
    <row r="10" customFormat="false" ht="15" hidden="false" customHeight="true" outlineLevel="0" collapsed="false">
      <c r="B10" s="68" t="n">
        <v>300</v>
      </c>
      <c r="C10" s="69" t="n">
        <f aca="false">(300/50 + 'A1 Inputs'!$C$19 + ('A1 Inputs'!$C$26/'A1 Inputs'!$C$25)*300) / $D$5</f>
        <v>1.48684210526316</v>
      </c>
      <c r="D10" s="69" t="n">
        <f aca="false">(300/70 + 'A1 Inputs'!$C$19 + ('A1 Inputs'!$C$26/'A1 Inputs'!$C$25)*300) / $D$5</f>
        <v>1.44172932330827</v>
      </c>
      <c r="E10" s="69" t="n">
        <f aca="false">(300/100 + 'A1 Inputs'!$C$19 + ('A1 Inputs'!$C$26/'A1 Inputs'!$C$25)*300) / $D$5</f>
        <v>1.40789473684211</v>
      </c>
      <c r="F10" s="69" t="n">
        <f aca="false">(300/150 + 'A1 Inputs'!$C$19 + ('A1 Inputs'!$C$26/'A1 Inputs'!$C$25)*300) / $D$5</f>
        <v>1.38157894736842</v>
      </c>
      <c r="G10" s="69" t="n">
        <f aca="false">(300/250 + 'A1 Inputs'!$C$19 + ('A1 Inputs'!$C$26/'A1 Inputs'!$C$25)*300) / $D$5</f>
        <v>1.36052631578947</v>
      </c>
      <c r="H10" s="69" t="n">
        <f aca="false">(300/400 + 'A1 Inputs'!$C$19 + ('A1 Inputs'!$C$26/'A1 Inputs'!$C$25)*300) / $D$5</f>
        <v>1.34868421052632</v>
      </c>
      <c r="I10" s="69" t="n">
        <f aca="false">(300/700 + 'A1 Inputs'!$C$19 + ('A1 Inputs'!$C$26/'A1 Inputs'!$C$25)*300) / $D$5</f>
        <v>1.34022556390977</v>
      </c>
    </row>
    <row r="11" customFormat="false" ht="15" hidden="false" customHeight="true" outlineLevel="0" collapsed="false">
      <c r="B11" s="68" t="n">
        <v>500</v>
      </c>
      <c r="C11" s="69" t="n">
        <f aca="false">(500/50 + 'A1 Inputs'!$C$19 + ('A1 Inputs'!$C$26/'A1 Inputs'!$C$25)*500) / $D$5</f>
        <v>1.61842105263158</v>
      </c>
      <c r="D11" s="69" t="n">
        <f aca="false">(500/70 + 'A1 Inputs'!$C$19 + ('A1 Inputs'!$C$26/'A1 Inputs'!$C$25)*500) / $D$5</f>
        <v>1.54323308270677</v>
      </c>
      <c r="E11" s="69" t="n">
        <f aca="false">(500/100 + 'A1 Inputs'!$C$19 + ('A1 Inputs'!$C$26/'A1 Inputs'!$C$25)*500) / $D$5</f>
        <v>1.48684210526316</v>
      </c>
      <c r="F11" s="69" t="n">
        <f aca="false">(500/150 + 'A1 Inputs'!$C$19 + ('A1 Inputs'!$C$26/'A1 Inputs'!$C$25)*500) / $D$5</f>
        <v>1.44298245614035</v>
      </c>
      <c r="G11" s="69" t="n">
        <f aca="false">(500/250 + 'A1 Inputs'!$C$19 + ('A1 Inputs'!$C$26/'A1 Inputs'!$C$25)*500) / $D$5</f>
        <v>1.40789473684211</v>
      </c>
      <c r="H11" s="69" t="n">
        <f aca="false">(500/400 + 'A1 Inputs'!$C$19 + ('A1 Inputs'!$C$26/'A1 Inputs'!$C$25)*500) / $D$5</f>
        <v>1.38815789473684</v>
      </c>
      <c r="I11" s="69" t="n">
        <f aca="false">(500/700 + 'A1 Inputs'!$C$19 + ('A1 Inputs'!$C$26/'A1 Inputs'!$C$25)*500) / $D$5</f>
        <v>1.37406015037594</v>
      </c>
    </row>
    <row r="12" customFormat="false" ht="15" hidden="false" customHeight="true" outlineLevel="0" collapsed="false">
      <c r="B12" s="68" t="n">
        <v>1000</v>
      </c>
      <c r="C12" s="69" t="n">
        <f aca="false">(1000/50 + 'A1 Inputs'!$C$19 + ('A1 Inputs'!$C$26/'A1 Inputs'!$C$25)*1000) / $D$5</f>
        <v>1.94736842105263</v>
      </c>
      <c r="D12" s="69" t="n">
        <f aca="false">(1000/70 + 'A1 Inputs'!$C$19 + ('A1 Inputs'!$C$26/'A1 Inputs'!$C$25)*1000) / $D$5</f>
        <v>1.79699248120301</v>
      </c>
      <c r="E12" s="69" t="n">
        <f aca="false">(1000/100 + 'A1 Inputs'!$C$19 + ('A1 Inputs'!$C$26/'A1 Inputs'!$C$25)*1000) / $D$5</f>
        <v>1.68421052631579</v>
      </c>
      <c r="F12" s="69" t="n">
        <f aca="false">(1000/150 + 'A1 Inputs'!$C$19 + ('A1 Inputs'!$C$26/'A1 Inputs'!$C$25)*1000) / $D$5</f>
        <v>1.59649122807018</v>
      </c>
      <c r="G12" s="69" t="n">
        <f aca="false">(1000/250 + 'A1 Inputs'!$C$19 + ('A1 Inputs'!$C$26/'A1 Inputs'!$C$25)*1000) / $D$5</f>
        <v>1.52631578947368</v>
      </c>
      <c r="H12" s="69" t="n">
        <f aca="false">(1000/400 + 'A1 Inputs'!$C$19 + ('A1 Inputs'!$C$26/'A1 Inputs'!$C$25)*1000) / $D$5</f>
        <v>1.48684210526316</v>
      </c>
      <c r="I12" s="69" t="n">
        <f aca="false">(1000/700 + 'A1 Inputs'!$C$19 + ('A1 Inputs'!$C$26/'A1 Inputs'!$C$25)*1000) / $D$5</f>
        <v>1.45864661654135</v>
      </c>
    </row>
    <row r="13" customFormat="false" ht="15" hidden="false" customHeight="true" outlineLevel="0" collapsed="false">
      <c r="B13" s="68" t="n">
        <v>2000</v>
      </c>
      <c r="C13" s="69" t="n">
        <f aca="false">(2000/50 + 'A1 Inputs'!$C$19 + ('A1 Inputs'!$C$26/'A1 Inputs'!$C$25)*2000) / $D$5</f>
        <v>2.60526315789474</v>
      </c>
      <c r="D13" s="69" t="n">
        <f aca="false">(2000/70 + 'A1 Inputs'!$C$19 + ('A1 Inputs'!$C$26/'A1 Inputs'!$C$25)*2000) / $D$5</f>
        <v>2.30451127819549</v>
      </c>
      <c r="E13" s="69" t="n">
        <f aca="false">(2000/100 + 'A1 Inputs'!$C$19 + ('A1 Inputs'!$C$26/'A1 Inputs'!$C$25)*2000) / $D$5</f>
        <v>2.07894736842105</v>
      </c>
      <c r="F13" s="69" t="n">
        <f aca="false">(2000/150 + 'A1 Inputs'!$C$19 + ('A1 Inputs'!$C$26/'A1 Inputs'!$C$25)*2000) / $D$5</f>
        <v>1.90350877192982</v>
      </c>
      <c r="G13" s="69" t="n">
        <f aca="false">(2000/250 + 'A1 Inputs'!$C$19 + ('A1 Inputs'!$C$26/'A1 Inputs'!$C$25)*2000) / $D$5</f>
        <v>1.76315789473684</v>
      </c>
      <c r="H13" s="69" t="n">
        <f aca="false">(2000/400 + 'A1 Inputs'!$C$19 + ('A1 Inputs'!$C$26/'A1 Inputs'!$C$25)*2000) / $D$5</f>
        <v>1.68421052631579</v>
      </c>
      <c r="I13" s="69" t="n">
        <f aca="false">(2000/700 + 'A1 Inputs'!$C$19 + ('A1 Inputs'!$C$26/'A1 Inputs'!$C$25)*2000) / $D$5</f>
        <v>1.62781954887218</v>
      </c>
    </row>
    <row r="14" customFormat="false" ht="15" hidden="false" customHeight="true" outlineLevel="0" collapsed="false">
      <c r="B14" s="68" t="n">
        <v>5000</v>
      </c>
      <c r="C14" s="69" t="n">
        <f aca="false">(5000/50 + 'A1 Inputs'!$C$19 + ('A1 Inputs'!$C$26/'A1 Inputs'!$C$25)*5000) / $D$5</f>
        <v>4.57894736842105</v>
      </c>
      <c r="D14" s="69" t="n">
        <f aca="false">(5000/70 + 'A1 Inputs'!$C$19 + ('A1 Inputs'!$C$26/'A1 Inputs'!$C$25)*5000) / $D$5</f>
        <v>3.82706766917293</v>
      </c>
      <c r="E14" s="69" t="n">
        <f aca="false">(5000/100 + 'A1 Inputs'!$C$19 + ('A1 Inputs'!$C$26/'A1 Inputs'!$C$25)*5000) / $D$5</f>
        <v>3.26315789473684</v>
      </c>
      <c r="F14" s="69" t="n">
        <f aca="false">(5000/150 + 'A1 Inputs'!$C$19 + ('A1 Inputs'!$C$26/'A1 Inputs'!$C$25)*5000) / $D$5</f>
        <v>2.82456140350877</v>
      </c>
      <c r="G14" s="69" t="n">
        <f aca="false">(5000/250 + 'A1 Inputs'!$C$19 + ('A1 Inputs'!$C$26/'A1 Inputs'!$C$25)*5000) / $D$5</f>
        <v>2.47368421052632</v>
      </c>
      <c r="H14" s="69" t="n">
        <f aca="false">(5000/400 + 'A1 Inputs'!$C$19 + ('A1 Inputs'!$C$26/'A1 Inputs'!$C$25)*5000) / $D$5</f>
        <v>2.27631578947368</v>
      </c>
      <c r="I14" s="69" t="n">
        <f aca="false">(5000/700 + 'A1 Inputs'!$C$19 + ('A1 Inputs'!$C$26/'A1 Inputs'!$C$25)*5000) / $D$5</f>
        <v>2.13533834586466</v>
      </c>
    </row>
    <row r="15" customFormat="false" ht="15" hidden="false" customHeight="true" outlineLevel="0" collapsed="false">
      <c r="B15" s="68" t="n">
        <v>7000</v>
      </c>
      <c r="C15" s="69" t="n">
        <f aca="false">(7000/50 + 'A1 Inputs'!$C$19 + ('A1 Inputs'!$C$26/'A1 Inputs'!$C$25)*7000) / $D$5</f>
        <v>5.89473684210526</v>
      </c>
      <c r="D15" s="69" t="n">
        <f aca="false">(7000/70 + 'A1 Inputs'!$C$19 + ('A1 Inputs'!$C$26/'A1 Inputs'!$C$25)*7000) / $D$5</f>
        <v>4.8421052631579</v>
      </c>
      <c r="E15" s="69" t="n">
        <f aca="false">(7000/100 + 'A1 Inputs'!$C$19 + ('A1 Inputs'!$C$26/'A1 Inputs'!$C$25)*7000) / $D$5</f>
        <v>4.05263157894737</v>
      </c>
      <c r="F15" s="69" t="n">
        <f aca="false">(7000/150 + 'A1 Inputs'!$C$19 + ('A1 Inputs'!$C$26/'A1 Inputs'!$C$25)*7000) / $D$5</f>
        <v>3.43859649122807</v>
      </c>
      <c r="G15" s="69" t="n">
        <f aca="false">(7000/250 + 'A1 Inputs'!$C$19 + ('A1 Inputs'!$C$26/'A1 Inputs'!$C$25)*7000) / $D$5</f>
        <v>2.94736842105263</v>
      </c>
      <c r="H15" s="69" t="n">
        <f aca="false">(7000/400 + 'A1 Inputs'!$C$19 + ('A1 Inputs'!$C$26/'A1 Inputs'!$C$25)*7000) / $D$5</f>
        <v>2.67105263157895</v>
      </c>
      <c r="I15" s="69" t="n">
        <f aca="false">(7000/700 + 'A1 Inputs'!$C$19 + ('A1 Inputs'!$C$26/'A1 Inputs'!$C$25)*7000) / $D$5</f>
        <v>2.47368421052632</v>
      </c>
    </row>
    <row r="17" customFormat="false" ht="15" hidden="false" customHeight="true" outlineLevel="0" collapsed="false">
      <c r="B17" s="70" t="s">
        <v>198</v>
      </c>
    </row>
    <row r="18" customFormat="false" ht="15" hidden="false" customHeight="true" outlineLevel="0" collapsed="false">
      <c r="B18" s="71" t="s">
        <v>199</v>
      </c>
    </row>
    <row r="19" customFormat="false" ht="15" hidden="false" customHeight="true" outlineLevel="0" collapsed="false">
      <c r="B19" s="71" t="s">
        <v>200</v>
      </c>
    </row>
    <row r="20" customFormat="false" ht="15" hidden="false" customHeight="true" outlineLevel="0" collapsed="false">
      <c r="B20" s="71" t="s">
        <v>201</v>
      </c>
    </row>
    <row r="21" customFormat="false" ht="15" hidden="false" customHeight="true" outlineLevel="0" collapsed="false">
      <c r="B21" s="71"/>
    </row>
    <row r="22" customFormat="false" ht="15" hidden="false" customHeight="true" outlineLevel="0" collapsed="false">
      <c r="B22" s="70" t="s">
        <v>202</v>
      </c>
    </row>
    <row r="23" customFormat="false" ht="15" hidden="false" customHeight="true" outlineLevel="0" collapsed="false">
      <c r="B23" s="71" t="s">
        <v>203</v>
      </c>
    </row>
    <row r="24" customFormat="false" ht="15" hidden="false" customHeight="true" outlineLevel="0" collapsed="false">
      <c r="B24" s="71" t="s">
        <v>204</v>
      </c>
    </row>
    <row r="25" customFormat="false" ht="15" hidden="false" customHeight="true" outlineLevel="0" collapsed="false">
      <c r="B25" s="71" t="s">
        <v>205</v>
      </c>
    </row>
    <row r="26" customFormat="false" ht="15" hidden="false" customHeight="true" outlineLevel="0" collapsed="false">
      <c r="B26" s="71" t="s">
        <v>206</v>
      </c>
    </row>
    <row r="27" customFormat="false" ht="15" hidden="false" customHeight="true" outlineLevel="0" collapsed="false">
      <c r="B27" s="48"/>
    </row>
    <row r="30" customFormat="false" ht="15" hidden="false" customHeight="true" outlineLevel="0" collapsed="false">
      <c r="B30" s="72" t="s">
        <v>207</v>
      </c>
    </row>
    <row r="31" customFormat="false" ht="15" hidden="false" customHeight="true" outlineLevel="0" collapsed="false">
      <c r="B31" s="73" t="s">
        <v>208</v>
      </c>
    </row>
    <row r="32" customFormat="false" ht="15" hidden="false" customHeight="true" outlineLevel="0" collapsed="false">
      <c r="B32" s="74" t="s">
        <v>209</v>
      </c>
      <c r="C32" s="75" t="n">
        <f aca="false">'A1 Terrestrial'!C20</f>
        <v>10218356.4290927</v>
      </c>
    </row>
    <row r="33" customFormat="false" ht="15" hidden="false" customHeight="true" outlineLevel="0" collapsed="false">
      <c r="B33" s="3" t="s">
        <v>210</v>
      </c>
      <c r="C33" s="76" t="n">
        <v>3</v>
      </c>
      <c r="D33" s="76" t="n">
        <v>5</v>
      </c>
      <c r="E33" s="76" t="n">
        <v>7</v>
      </c>
      <c r="F33" s="76" t="n">
        <v>10</v>
      </c>
      <c r="G33" s="76" t="n">
        <v>14</v>
      </c>
      <c r="H33" s="76" t="n">
        <v>20</v>
      </c>
    </row>
    <row r="34" customFormat="false" ht="15" hidden="false" customHeight="true" outlineLevel="0" collapsed="false">
      <c r="B34" s="77" t="n">
        <v>100</v>
      </c>
      <c r="C34" s="78" t="n">
        <f aca="false">((('A1 Orbital'!$C$5*$B34+'A1 Orbital'!$C$10+'A1 Orbital'!$C$13*$B34)*('A1 Inputs'!$C$8*(1+'A1 Inputs'!$C$8)^C$33/((1+'A1 Inputs'!$C$8)^C$33-1))+'A1 Orbital'!$C$20+'A1 Orbital'!$C$5*'A1 Inputs'!$C$21*$B34+('A1 Orbital'!$C$5*$B34+'A1 Orbital'!$C$10+'A1 Orbital'!$C$13*$B34)*'A1 Inputs'!$C$22)/('A1 Inputs'!$C$6*((1+(1-'A1 Inputs'!$C$20)^C$33)/2)))/'A1 Terrestrial'!$C$20</f>
        <v>2.73538218248433</v>
      </c>
      <c r="D34" s="78" t="n">
        <f aca="false">((('A1 Orbital'!$C$5*$B34+'A1 Orbital'!$C$10+'A1 Orbital'!$C$13*$B34)*('A1 Inputs'!$C$8*(1+'A1 Inputs'!$C$8)^D$33/((1+'A1 Inputs'!$C$8)^D$33-1))+'A1 Orbital'!$C$20+'A1 Orbital'!$C$5*'A1 Inputs'!$C$21*$B34+('A1 Orbital'!$C$5*$B34+'A1 Orbital'!$C$10+'A1 Orbital'!$C$13*$B34)*'A1 Inputs'!$C$22)/('A1 Inputs'!$C$6*((1+(1-'A1 Inputs'!$C$20)^D$33)/2)))/'A1 Terrestrial'!$C$20</f>
        <v>2.04672579201267</v>
      </c>
      <c r="E34" s="78" t="n">
        <f aca="false">((('A1 Orbital'!$C$5*$B34+'A1 Orbital'!$C$10+'A1 Orbital'!$C$13*$B34)*('A1 Inputs'!$C$8*(1+'A1 Inputs'!$C$8)^E$33/((1+'A1 Inputs'!$C$8)^E$33-1))+'A1 Orbital'!$C$20+'A1 Orbital'!$C$5*'A1 Inputs'!$C$21*$B34+('A1 Orbital'!$C$5*$B34+'A1 Orbital'!$C$10+'A1 Orbital'!$C$13*$B34)*'A1 Inputs'!$C$22)/('A1 Inputs'!$C$6*((1+(1-'A1 Inputs'!$C$20)^E$33)/2)))/'A1 Terrestrial'!$C$20</f>
        <v>1.77083412970739</v>
      </c>
      <c r="F34" s="78" t="n">
        <f aca="false">((('A1 Orbital'!$C$5*$B34+'A1 Orbital'!$C$10+'A1 Orbital'!$C$13*$B34)*('A1 Inputs'!$C$8*(1+'A1 Inputs'!$C$8)^F$33/((1+'A1 Inputs'!$C$8)^F$33-1))+'A1 Orbital'!$C$20+'A1 Orbital'!$C$5*'A1 Inputs'!$C$21*$B34+('A1 Orbital'!$C$5*$B34+'A1 Orbital'!$C$10+'A1 Orbital'!$C$13*$B34)*'A1 Inputs'!$C$22)/('A1 Inputs'!$C$6*((1+(1-'A1 Inputs'!$C$20)^F$33)/2)))/'A1 Terrestrial'!$C$20</f>
        <v>1.58938266615605</v>
      </c>
      <c r="G34" s="78" t="n">
        <f aca="false">((('A1 Orbital'!$C$5*$B34+'A1 Orbital'!$C$10+'A1 Orbital'!$C$13*$B34)*('A1 Inputs'!$C$8*(1+'A1 Inputs'!$C$8)^G$33/((1+'A1 Inputs'!$C$8)^G$33-1))+'A1 Orbital'!$C$20+'A1 Orbital'!$C$5*'A1 Inputs'!$C$21*$B34+('A1 Orbital'!$C$5*$B34+'A1 Orbital'!$C$10+'A1 Orbital'!$C$13*$B34)*'A1 Inputs'!$C$22)/('A1 Inputs'!$C$6*((1+(1-'A1 Inputs'!$C$20)^G$33)/2)))/'A1 Terrestrial'!$C$20</f>
        <v>1.50231063975762</v>
      </c>
      <c r="H34" s="78" t="n">
        <f aca="false">((('A1 Orbital'!$C$5*$B34+'A1 Orbital'!$C$10+'A1 Orbital'!$C$13*$B34)*('A1 Inputs'!$C$8*(1+'A1 Inputs'!$C$8)^H$33/((1+'A1 Inputs'!$C$8)^H$33-1))+'A1 Orbital'!$C$20+'A1 Orbital'!$C$5*'A1 Inputs'!$C$21*$B34+('A1 Orbital'!$C$5*$B34+'A1 Orbital'!$C$10+'A1 Orbital'!$C$13*$B34)*'A1 Inputs'!$C$22)/('A1 Inputs'!$C$6*((1+(1-'A1 Inputs'!$C$20)^H$33)/2)))/'A1 Terrestrial'!$C$20</f>
        <v>1.48658323359524</v>
      </c>
    </row>
    <row r="35" customFormat="false" ht="15" hidden="false" customHeight="true" outlineLevel="0" collapsed="false">
      <c r="B35" s="77" t="n">
        <v>200</v>
      </c>
      <c r="C35" s="78" t="n">
        <f aca="false">((('A1 Orbital'!$C$5*$B35+'A1 Orbital'!$C$10+'A1 Orbital'!$C$13*$B35)*('A1 Inputs'!$C$8*(1+'A1 Inputs'!$C$8)^C$33/((1+'A1 Inputs'!$C$8)^C$33-1))+'A1 Orbital'!$C$20+'A1 Orbital'!$C$5*'A1 Inputs'!$C$21*$B35+('A1 Orbital'!$C$5*$B35+'A1 Orbital'!$C$10+'A1 Orbital'!$C$13*$B35)*'A1 Inputs'!$C$22)/('A1 Inputs'!$C$6*((1+(1-'A1 Inputs'!$C$20)^C$33)/2)))/'A1 Terrestrial'!$C$20</f>
        <v>2.90073354235284</v>
      </c>
      <c r="D35" s="78" t="n">
        <f aca="false">((('A1 Orbital'!$C$5*$B35+'A1 Orbital'!$C$10+'A1 Orbital'!$C$13*$B35)*('A1 Inputs'!$C$8*(1+'A1 Inputs'!$C$8)^D$33/((1+'A1 Inputs'!$C$8)^D$33-1))+'A1 Orbital'!$C$20+'A1 Orbital'!$C$5*'A1 Inputs'!$C$21*$B35+('A1 Orbital'!$C$5*$B35+'A1 Orbital'!$C$10+'A1 Orbital'!$C$13*$B35)*'A1 Inputs'!$C$22)/('A1 Inputs'!$C$6*((1+(1-'A1 Inputs'!$C$20)^D$33)/2)))/'A1 Terrestrial'!$C$20</f>
        <v>2.1692647711125</v>
      </c>
      <c r="E35" s="78" t="n">
        <f aca="false">((('A1 Orbital'!$C$5*$B35+'A1 Orbital'!$C$10+'A1 Orbital'!$C$13*$B35)*('A1 Inputs'!$C$8*(1+'A1 Inputs'!$C$8)^E$33/((1+'A1 Inputs'!$C$8)^E$33-1))+'A1 Orbital'!$C$20+'A1 Orbital'!$C$5*'A1 Inputs'!$C$21*$B35+('A1 Orbital'!$C$5*$B35+'A1 Orbital'!$C$10+'A1 Orbital'!$C$13*$B35)*'A1 Inputs'!$C$22)/('A1 Inputs'!$C$6*((1+(1-'A1 Inputs'!$C$20)^E$33)/2)))/'A1 Terrestrial'!$C$20</f>
        <v>1.87615929341596</v>
      </c>
      <c r="F35" s="78" t="n">
        <f aca="false">((('A1 Orbital'!$C$5*$B35+'A1 Orbital'!$C$10+'A1 Orbital'!$C$13*$B35)*('A1 Inputs'!$C$8*(1+'A1 Inputs'!$C$8)^F$33/((1+'A1 Inputs'!$C$8)^F$33-1))+'A1 Orbital'!$C$20+'A1 Orbital'!$C$5*'A1 Inputs'!$C$21*$B35+('A1 Orbital'!$C$5*$B35+'A1 Orbital'!$C$10+'A1 Orbital'!$C$13*$B35)*'A1 Inputs'!$C$22)/('A1 Inputs'!$C$6*((1+(1-'A1 Inputs'!$C$20)^F$33)/2)))/'A1 Terrestrial'!$C$20</f>
        <v>1.68329979031978</v>
      </c>
      <c r="G35" s="78" t="n">
        <f aca="false">((('A1 Orbital'!$C$5*$B35+'A1 Orbital'!$C$10+'A1 Orbital'!$C$13*$B35)*('A1 Inputs'!$C$8*(1+'A1 Inputs'!$C$8)^G$33/((1+'A1 Inputs'!$C$8)^G$33-1))+'A1 Orbital'!$C$20+'A1 Orbital'!$C$5*'A1 Inputs'!$C$21*$B35+('A1 Orbital'!$C$5*$B35+'A1 Orbital'!$C$10+'A1 Orbital'!$C$13*$B35)*'A1 Inputs'!$C$22)/('A1 Inputs'!$C$6*((1+(1-'A1 Inputs'!$C$20)^G$33)/2)))/'A1 Terrestrial'!$C$20</f>
        <v>1.59062349180177</v>
      </c>
      <c r="H35" s="78" t="n">
        <f aca="false">((('A1 Orbital'!$C$5*$B35+'A1 Orbital'!$C$10+'A1 Orbital'!$C$13*$B35)*('A1 Inputs'!$C$8*(1+'A1 Inputs'!$C$8)^H$33/((1+'A1 Inputs'!$C$8)^H$33-1))+'A1 Orbital'!$C$20+'A1 Orbital'!$C$5*'A1 Inputs'!$C$21*$B35+('A1 Orbital'!$C$5*$B35+'A1 Orbital'!$C$10+'A1 Orbital'!$C$13*$B35)*'A1 Inputs'!$C$22)/('A1 Inputs'!$C$6*((1+(1-'A1 Inputs'!$C$20)^H$33)/2)))/'A1 Terrestrial'!$C$20</f>
        <v>1.57362120108614</v>
      </c>
    </row>
    <row r="36" customFormat="false" ht="15" hidden="false" customHeight="true" outlineLevel="0" collapsed="false">
      <c r="B36" s="77" t="n">
        <v>300</v>
      </c>
      <c r="C36" s="78" t="n">
        <f aca="false">((('A1 Orbital'!$C$5*$B36+'A1 Orbital'!$C$10+'A1 Orbital'!$C$13*$B36)*('A1 Inputs'!$C$8*(1+'A1 Inputs'!$C$8)^C$33/((1+'A1 Inputs'!$C$8)^C$33-1))+'A1 Orbital'!$C$20+'A1 Orbital'!$C$5*'A1 Inputs'!$C$21*$B36+('A1 Orbital'!$C$5*$B36+'A1 Orbital'!$C$10+'A1 Orbital'!$C$13*$B36)*'A1 Inputs'!$C$22)/('A1 Inputs'!$C$6*((1+(1-'A1 Inputs'!$C$20)^C$33)/2)))/'A1 Terrestrial'!$C$20</f>
        <v>3.06608490222135</v>
      </c>
      <c r="D36" s="78" t="n">
        <f aca="false">((('A1 Orbital'!$C$5*$B36+'A1 Orbital'!$C$10+'A1 Orbital'!$C$13*$B36)*('A1 Inputs'!$C$8*(1+'A1 Inputs'!$C$8)^D$33/((1+'A1 Inputs'!$C$8)^D$33-1))+'A1 Orbital'!$C$20+'A1 Orbital'!$C$5*'A1 Inputs'!$C$21*$B36+('A1 Orbital'!$C$5*$B36+'A1 Orbital'!$C$10+'A1 Orbital'!$C$13*$B36)*'A1 Inputs'!$C$22)/('A1 Inputs'!$C$6*((1+(1-'A1 Inputs'!$C$20)^D$33)/2)))/'A1 Terrestrial'!$C$20</f>
        <v>2.29180375021233</v>
      </c>
      <c r="E36" s="78" t="n">
        <f aca="false">((('A1 Orbital'!$C$5*$B36+'A1 Orbital'!$C$10+'A1 Orbital'!$C$13*$B36)*('A1 Inputs'!$C$8*(1+'A1 Inputs'!$C$8)^E$33/((1+'A1 Inputs'!$C$8)^E$33-1))+'A1 Orbital'!$C$20+'A1 Orbital'!$C$5*'A1 Inputs'!$C$21*$B36+('A1 Orbital'!$C$5*$B36+'A1 Orbital'!$C$10+'A1 Orbital'!$C$13*$B36)*'A1 Inputs'!$C$22)/('A1 Inputs'!$C$6*((1+(1-'A1 Inputs'!$C$20)^E$33)/2)))/'A1 Terrestrial'!$C$20</f>
        <v>1.98148445712452</v>
      </c>
      <c r="F36" s="78" t="n">
        <f aca="false">((('A1 Orbital'!$C$5*$B36+'A1 Orbital'!$C$10+'A1 Orbital'!$C$13*$B36)*('A1 Inputs'!$C$8*(1+'A1 Inputs'!$C$8)^F$33/((1+'A1 Inputs'!$C$8)^F$33-1))+'A1 Orbital'!$C$20+'A1 Orbital'!$C$5*'A1 Inputs'!$C$21*$B36+('A1 Orbital'!$C$5*$B36+'A1 Orbital'!$C$10+'A1 Orbital'!$C$13*$B36)*'A1 Inputs'!$C$22)/('A1 Inputs'!$C$6*((1+(1-'A1 Inputs'!$C$20)^F$33)/2)))/'A1 Terrestrial'!$C$20</f>
        <v>1.77721691448352</v>
      </c>
      <c r="G36" s="78" t="n">
        <f aca="false">((('A1 Orbital'!$C$5*$B36+'A1 Orbital'!$C$10+'A1 Orbital'!$C$13*$B36)*('A1 Inputs'!$C$8*(1+'A1 Inputs'!$C$8)^G$33/((1+'A1 Inputs'!$C$8)^G$33-1))+'A1 Orbital'!$C$20+'A1 Orbital'!$C$5*'A1 Inputs'!$C$21*$B36+('A1 Orbital'!$C$5*$B36+'A1 Orbital'!$C$10+'A1 Orbital'!$C$13*$B36)*'A1 Inputs'!$C$22)/('A1 Inputs'!$C$6*((1+(1-'A1 Inputs'!$C$20)^G$33)/2)))/'A1 Terrestrial'!$C$20</f>
        <v>1.67893634384593</v>
      </c>
      <c r="H36" s="78" t="n">
        <f aca="false">((('A1 Orbital'!$C$5*$B36+'A1 Orbital'!$C$10+'A1 Orbital'!$C$13*$B36)*('A1 Inputs'!$C$8*(1+'A1 Inputs'!$C$8)^H$33/((1+'A1 Inputs'!$C$8)^H$33-1))+'A1 Orbital'!$C$20+'A1 Orbital'!$C$5*'A1 Inputs'!$C$21*$B36+('A1 Orbital'!$C$5*$B36+'A1 Orbital'!$C$10+'A1 Orbital'!$C$13*$B36)*'A1 Inputs'!$C$22)/('A1 Inputs'!$C$6*((1+(1-'A1 Inputs'!$C$20)^H$33)/2)))/'A1 Terrestrial'!$C$20</f>
        <v>1.66065916857703</v>
      </c>
    </row>
    <row r="37" customFormat="false" ht="15" hidden="false" customHeight="true" outlineLevel="0" collapsed="false">
      <c r="B37" s="77" t="n">
        <v>500</v>
      </c>
      <c r="C37" s="78" t="n">
        <f aca="false">((('A1 Orbital'!$C$5*$B37+'A1 Orbital'!$C$10+'A1 Orbital'!$C$13*$B37)*('A1 Inputs'!$C$8*(1+'A1 Inputs'!$C$8)^C$33/((1+'A1 Inputs'!$C$8)^C$33-1))+'A1 Orbital'!$C$20+'A1 Orbital'!$C$5*'A1 Inputs'!$C$21*$B37+('A1 Orbital'!$C$5*$B37+'A1 Orbital'!$C$10+'A1 Orbital'!$C$13*$B37)*'A1 Inputs'!$C$22)/('A1 Inputs'!$C$6*((1+(1-'A1 Inputs'!$C$20)^C$33)/2)))/'A1 Terrestrial'!$C$20</f>
        <v>3.39678762195836</v>
      </c>
      <c r="D37" s="78" t="n">
        <f aca="false">((('A1 Orbital'!$C$5*$B37+'A1 Orbital'!$C$10+'A1 Orbital'!$C$13*$B37)*('A1 Inputs'!$C$8*(1+'A1 Inputs'!$C$8)^D$33/((1+'A1 Inputs'!$C$8)^D$33-1))+'A1 Orbital'!$C$20+'A1 Orbital'!$C$5*'A1 Inputs'!$C$21*$B37+('A1 Orbital'!$C$5*$B37+'A1 Orbital'!$C$10+'A1 Orbital'!$C$13*$B37)*'A1 Inputs'!$C$22)/('A1 Inputs'!$C$6*((1+(1-'A1 Inputs'!$C$20)^D$33)/2)))/'A1 Terrestrial'!$C$20</f>
        <v>2.53688170841199</v>
      </c>
      <c r="E37" s="78" t="n">
        <f aca="false">((('A1 Orbital'!$C$5*$B37+'A1 Orbital'!$C$10+'A1 Orbital'!$C$13*$B37)*('A1 Inputs'!$C$8*(1+'A1 Inputs'!$C$8)^E$33/((1+'A1 Inputs'!$C$8)^E$33-1))+'A1 Orbital'!$C$20+'A1 Orbital'!$C$5*'A1 Inputs'!$C$21*$B37+('A1 Orbital'!$C$5*$B37+'A1 Orbital'!$C$10+'A1 Orbital'!$C$13*$B37)*'A1 Inputs'!$C$22)/('A1 Inputs'!$C$6*((1+(1-'A1 Inputs'!$C$20)^E$33)/2)))/'A1 Terrestrial'!$C$20</f>
        <v>2.19213478454165</v>
      </c>
      <c r="F37" s="78" t="n">
        <f aca="false">((('A1 Orbital'!$C$5*$B37+'A1 Orbital'!$C$10+'A1 Orbital'!$C$13*$B37)*('A1 Inputs'!$C$8*(1+'A1 Inputs'!$C$8)^F$33/((1+'A1 Inputs'!$C$8)^F$33-1))+'A1 Orbital'!$C$20+'A1 Orbital'!$C$5*'A1 Inputs'!$C$21*$B37+('A1 Orbital'!$C$5*$B37+'A1 Orbital'!$C$10+'A1 Orbital'!$C$13*$B37)*'A1 Inputs'!$C$22)/('A1 Inputs'!$C$6*((1+(1-'A1 Inputs'!$C$20)^F$33)/2)))/'A1 Terrestrial'!$C$20</f>
        <v>1.96505116281098</v>
      </c>
      <c r="G37" s="78" t="n">
        <f aca="false">((('A1 Orbital'!$C$5*$B37+'A1 Orbital'!$C$10+'A1 Orbital'!$C$13*$B37)*('A1 Inputs'!$C$8*(1+'A1 Inputs'!$C$8)^G$33/((1+'A1 Inputs'!$C$8)^G$33-1))+'A1 Orbital'!$C$20+'A1 Orbital'!$C$5*'A1 Inputs'!$C$21*$B37+('A1 Orbital'!$C$5*$B37+'A1 Orbital'!$C$10+'A1 Orbital'!$C$13*$B37)*'A1 Inputs'!$C$22)/('A1 Inputs'!$C$6*((1+(1-'A1 Inputs'!$C$20)^G$33)/2)))/'A1 Terrestrial'!$C$20</f>
        <v>1.85556204793424</v>
      </c>
      <c r="H37" s="78" t="n">
        <f aca="false">((('A1 Orbital'!$C$5*$B37+'A1 Orbital'!$C$10+'A1 Orbital'!$C$13*$B37)*('A1 Inputs'!$C$8*(1+'A1 Inputs'!$C$8)^H$33/((1+'A1 Inputs'!$C$8)^H$33-1))+'A1 Orbital'!$C$20+'A1 Orbital'!$C$5*'A1 Inputs'!$C$21*$B37+('A1 Orbital'!$C$5*$B37+'A1 Orbital'!$C$10+'A1 Orbital'!$C$13*$B37)*'A1 Inputs'!$C$22)/('A1 Inputs'!$C$6*((1+(1-'A1 Inputs'!$C$20)^H$33)/2)))/'A1 Terrestrial'!$C$20</f>
        <v>1.83473510355882</v>
      </c>
    </row>
    <row r="38" customFormat="false" ht="15" hidden="false" customHeight="true" outlineLevel="0" collapsed="false">
      <c r="B38" s="77" t="n">
        <v>1000</v>
      </c>
      <c r="C38" s="78" t="n">
        <f aca="false">((('A1 Orbital'!$C$5*$B38+'A1 Orbital'!$C$10+'A1 Orbital'!$C$13*$B38)*('A1 Inputs'!$C$8*(1+'A1 Inputs'!$C$8)^C$33/((1+'A1 Inputs'!$C$8)^C$33-1))+'A1 Orbital'!$C$20+'A1 Orbital'!$C$5*'A1 Inputs'!$C$21*$B38+('A1 Orbital'!$C$5*$B38+'A1 Orbital'!$C$10+'A1 Orbital'!$C$13*$B38)*'A1 Inputs'!$C$22)/('A1 Inputs'!$C$6*((1+(1-'A1 Inputs'!$C$20)^C$33)/2)))/'A1 Terrestrial'!$C$20</f>
        <v>4.22354442130091</v>
      </c>
      <c r="D38" s="78" t="n">
        <f aca="false">((('A1 Orbital'!$C$5*$B38+'A1 Orbital'!$C$10+'A1 Orbital'!$C$13*$B38)*('A1 Inputs'!$C$8*(1+'A1 Inputs'!$C$8)^D$33/((1+'A1 Inputs'!$C$8)^D$33-1))+'A1 Orbital'!$C$20+'A1 Orbital'!$C$5*'A1 Inputs'!$C$21*$B38+('A1 Orbital'!$C$5*$B38+'A1 Orbital'!$C$10+'A1 Orbital'!$C$13*$B38)*'A1 Inputs'!$C$22)/('A1 Inputs'!$C$6*((1+(1-'A1 Inputs'!$C$20)^D$33)/2)))/'A1 Terrestrial'!$C$20</f>
        <v>3.14957660391113</v>
      </c>
      <c r="E38" s="78" t="n">
        <f aca="false">((('A1 Orbital'!$C$5*$B38+'A1 Orbital'!$C$10+'A1 Orbital'!$C$13*$B38)*('A1 Inputs'!$C$8*(1+'A1 Inputs'!$C$8)^E$33/((1+'A1 Inputs'!$C$8)^E$33-1))+'A1 Orbital'!$C$20+'A1 Orbital'!$C$5*'A1 Inputs'!$C$21*$B38+('A1 Orbital'!$C$5*$B38+'A1 Orbital'!$C$10+'A1 Orbital'!$C$13*$B38)*'A1 Inputs'!$C$22)/('A1 Inputs'!$C$6*((1+(1-'A1 Inputs'!$C$20)^E$33)/2)))/'A1 Terrestrial'!$C$20</f>
        <v>2.71876060308446</v>
      </c>
      <c r="F38" s="78" t="n">
        <f aca="false">((('A1 Orbital'!$C$5*$B38+'A1 Orbital'!$C$10+'A1 Orbital'!$C$13*$B38)*('A1 Inputs'!$C$8*(1+'A1 Inputs'!$C$8)^F$33/((1+'A1 Inputs'!$C$8)^F$33-1))+'A1 Orbital'!$C$20+'A1 Orbital'!$C$5*'A1 Inputs'!$C$21*$B38+('A1 Orbital'!$C$5*$B38+'A1 Orbital'!$C$10+'A1 Orbital'!$C$13*$B38)*'A1 Inputs'!$C$22)/('A1 Inputs'!$C$6*((1+(1-'A1 Inputs'!$C$20)^F$33)/2)))/'A1 Terrestrial'!$C$20</f>
        <v>2.43463678362966</v>
      </c>
      <c r="G38" s="78" t="n">
        <f aca="false">((('A1 Orbital'!$C$5*$B38+'A1 Orbital'!$C$10+'A1 Orbital'!$C$13*$B38)*('A1 Inputs'!$C$8*(1+'A1 Inputs'!$C$8)^G$33/((1+'A1 Inputs'!$C$8)^G$33-1))+'A1 Orbital'!$C$20+'A1 Orbital'!$C$5*'A1 Inputs'!$C$21*$B38+('A1 Orbital'!$C$5*$B38+'A1 Orbital'!$C$10+'A1 Orbital'!$C$13*$B38)*'A1 Inputs'!$C$22)/('A1 Inputs'!$C$6*((1+(1-'A1 Inputs'!$C$20)^G$33)/2)))/'A1 Terrestrial'!$C$20</f>
        <v>2.29712630815502</v>
      </c>
      <c r="H38" s="78" t="n">
        <f aca="false">((('A1 Orbital'!$C$5*$B38+'A1 Orbital'!$C$10+'A1 Orbital'!$C$13*$B38)*('A1 Inputs'!$C$8*(1+'A1 Inputs'!$C$8)^H$33/((1+'A1 Inputs'!$C$8)^H$33-1))+'A1 Orbital'!$C$20+'A1 Orbital'!$C$5*'A1 Inputs'!$C$21*$B38+('A1 Orbital'!$C$5*$B38+'A1 Orbital'!$C$10+'A1 Orbital'!$C$13*$B38)*'A1 Inputs'!$C$22)/('A1 Inputs'!$C$6*((1+(1-'A1 Inputs'!$C$20)^H$33)/2)))/'A1 Terrestrial'!$C$20</f>
        <v>2.2699249410133</v>
      </c>
    </row>
    <row r="39" customFormat="false" ht="15" hidden="false" customHeight="true" outlineLevel="0" collapsed="false">
      <c r="B39" s="77" t="n">
        <v>2000</v>
      </c>
      <c r="C39" s="78" t="n">
        <f aca="false">((('A1 Orbital'!$C$5*$B39+'A1 Orbital'!$C$10+'A1 Orbital'!$C$13*$B39)*('A1 Inputs'!$C$8*(1+'A1 Inputs'!$C$8)^C$33/((1+'A1 Inputs'!$C$8)^C$33-1))+'A1 Orbital'!$C$20+'A1 Orbital'!$C$5*'A1 Inputs'!$C$21*$B39+('A1 Orbital'!$C$5*$B39+'A1 Orbital'!$C$10+'A1 Orbital'!$C$13*$B39)*'A1 Inputs'!$C$22)/('A1 Inputs'!$C$6*((1+(1-'A1 Inputs'!$C$20)^C$33)/2)))/'A1 Terrestrial'!$C$20</f>
        <v>5.87705801998601</v>
      </c>
      <c r="D39" s="78" t="n">
        <f aca="false">((('A1 Orbital'!$C$5*$B39+'A1 Orbital'!$C$10+'A1 Orbital'!$C$13*$B39)*('A1 Inputs'!$C$8*(1+'A1 Inputs'!$C$8)^D$33/((1+'A1 Inputs'!$C$8)^D$33-1))+'A1 Orbital'!$C$20+'A1 Orbital'!$C$5*'A1 Inputs'!$C$21*$B39+('A1 Orbital'!$C$5*$B39+'A1 Orbital'!$C$10+'A1 Orbital'!$C$13*$B39)*'A1 Inputs'!$C$22)/('A1 Inputs'!$C$6*((1+(1-'A1 Inputs'!$C$20)^D$33)/2)))/'A1 Terrestrial'!$C$20</f>
        <v>4.37496639490942</v>
      </c>
      <c r="E39" s="78" t="n">
        <f aca="false">((('A1 Orbital'!$C$5*$B39+'A1 Orbital'!$C$10+'A1 Orbital'!$C$13*$B39)*('A1 Inputs'!$C$8*(1+'A1 Inputs'!$C$8)^E$33/((1+'A1 Inputs'!$C$8)^E$33-1))+'A1 Orbital'!$C$20+'A1 Orbital'!$C$5*'A1 Inputs'!$C$21*$B39+('A1 Orbital'!$C$5*$B39+'A1 Orbital'!$C$10+'A1 Orbital'!$C$13*$B39)*'A1 Inputs'!$C$22)/('A1 Inputs'!$C$6*((1+(1-'A1 Inputs'!$C$20)^E$33)/2)))/'A1 Terrestrial'!$C$20</f>
        <v>3.77201224017009</v>
      </c>
      <c r="F39" s="78" t="n">
        <f aca="false">((('A1 Orbital'!$C$5*$B39+'A1 Orbital'!$C$10+'A1 Orbital'!$C$13*$B39)*('A1 Inputs'!$C$8*(1+'A1 Inputs'!$C$8)^F$33/((1+'A1 Inputs'!$C$8)^F$33-1))+'A1 Orbital'!$C$20+'A1 Orbital'!$C$5*'A1 Inputs'!$C$21*$B39+('A1 Orbital'!$C$5*$B39+'A1 Orbital'!$C$10+'A1 Orbital'!$C$13*$B39)*'A1 Inputs'!$C$22)/('A1 Inputs'!$C$6*((1+(1-'A1 Inputs'!$C$20)^F$33)/2)))/'A1 Terrestrial'!$C$20</f>
        <v>3.373808025267</v>
      </c>
      <c r="G39" s="78" t="n">
        <f aca="false">((('A1 Orbital'!$C$5*$B39+'A1 Orbital'!$C$10+'A1 Orbital'!$C$13*$B39)*('A1 Inputs'!$C$8*(1+'A1 Inputs'!$C$8)^G$33/((1+'A1 Inputs'!$C$8)^G$33-1))+'A1 Orbital'!$C$20+'A1 Orbital'!$C$5*'A1 Inputs'!$C$21*$B39+('A1 Orbital'!$C$5*$B39+'A1 Orbital'!$C$10+'A1 Orbital'!$C$13*$B39)*'A1 Inputs'!$C$22)/('A1 Inputs'!$C$6*((1+(1-'A1 Inputs'!$C$20)^G$33)/2)))/'A1 Terrestrial'!$C$20</f>
        <v>3.18025482859657</v>
      </c>
      <c r="H39" s="78" t="n">
        <f aca="false">((('A1 Orbital'!$C$5*$B39+'A1 Orbital'!$C$10+'A1 Orbital'!$C$13*$B39)*('A1 Inputs'!$C$8*(1+'A1 Inputs'!$C$8)^H$33/((1+'A1 Inputs'!$C$8)^H$33-1))+'A1 Orbital'!$C$20+'A1 Orbital'!$C$5*'A1 Inputs'!$C$21*$B39+('A1 Orbital'!$C$5*$B39+'A1 Orbital'!$C$10+'A1 Orbital'!$C$13*$B39)*'A1 Inputs'!$C$22)/('A1 Inputs'!$C$6*((1+(1-'A1 Inputs'!$C$20)^H$33)/2)))/'A1 Terrestrial'!$C$20</f>
        <v>3.14030461592224</v>
      </c>
    </row>
    <row r="40" customFormat="false" ht="15" hidden="false" customHeight="true" outlineLevel="0" collapsed="false">
      <c r="B40" s="77" t="n">
        <v>5000</v>
      </c>
      <c r="C40" s="78" t="n">
        <f aca="false">((('A1 Orbital'!$C$5*$B40+'A1 Orbital'!$C$10+'A1 Orbital'!$C$13*$B40)*('A1 Inputs'!$C$8*(1+'A1 Inputs'!$C$8)^C$33/((1+'A1 Inputs'!$C$8)^C$33-1))+'A1 Orbital'!$C$20+'A1 Orbital'!$C$5*'A1 Inputs'!$C$21*$B40+('A1 Orbital'!$C$5*$B40+'A1 Orbital'!$C$10+'A1 Orbital'!$C$13*$B40)*'A1 Inputs'!$C$22)/('A1 Inputs'!$C$6*((1+(1-'A1 Inputs'!$C$20)^C$33)/2)))/'A1 Terrestrial'!$C$20</f>
        <v>10.8375988160413</v>
      </c>
      <c r="D40" s="78" t="n">
        <f aca="false">((('A1 Orbital'!$C$5*$B40+'A1 Orbital'!$C$10+'A1 Orbital'!$C$13*$B40)*('A1 Inputs'!$C$8*(1+'A1 Inputs'!$C$8)^D$33/((1+'A1 Inputs'!$C$8)^D$33-1))+'A1 Orbital'!$C$20+'A1 Orbital'!$C$5*'A1 Inputs'!$C$21*$B40+('A1 Orbital'!$C$5*$B40+'A1 Orbital'!$C$10+'A1 Orbital'!$C$13*$B40)*'A1 Inputs'!$C$22)/('A1 Inputs'!$C$6*((1+(1-'A1 Inputs'!$C$20)^D$33)/2)))/'A1 Terrestrial'!$C$20</f>
        <v>8.05113576790429</v>
      </c>
      <c r="E40" s="78" t="n">
        <f aca="false">((('A1 Orbital'!$C$5*$B40+'A1 Orbital'!$C$10+'A1 Orbital'!$C$13*$B40)*('A1 Inputs'!$C$8*(1+'A1 Inputs'!$C$8)^E$33/((1+'A1 Inputs'!$C$8)^E$33-1))+'A1 Orbital'!$C$20+'A1 Orbital'!$C$5*'A1 Inputs'!$C$21*$B40+('A1 Orbital'!$C$5*$B40+'A1 Orbital'!$C$10+'A1 Orbital'!$C$13*$B40)*'A1 Inputs'!$C$22)/('A1 Inputs'!$C$6*((1+(1-'A1 Inputs'!$C$20)^E$33)/2)))/'A1 Terrestrial'!$C$20</f>
        <v>6.93176715142699</v>
      </c>
      <c r="F40" s="78" t="n">
        <f aca="false">((('A1 Orbital'!$C$5*$B40+'A1 Orbital'!$C$10+'A1 Orbital'!$C$13*$B40)*('A1 Inputs'!$C$8*(1+'A1 Inputs'!$C$8)^F$33/((1+'A1 Inputs'!$C$8)^F$33-1))+'A1 Orbital'!$C$20+'A1 Orbital'!$C$5*'A1 Inputs'!$C$21*$B40+('A1 Orbital'!$C$5*$B40+'A1 Orbital'!$C$10+'A1 Orbital'!$C$13*$B40)*'A1 Inputs'!$C$22)/('A1 Inputs'!$C$6*((1+(1-'A1 Inputs'!$C$20)^F$33)/2)))/'A1 Terrestrial'!$C$20</f>
        <v>6.19132175017903</v>
      </c>
      <c r="G40" s="78" t="n">
        <f aca="false">((('A1 Orbital'!$C$5*$B40+'A1 Orbital'!$C$10+'A1 Orbital'!$C$13*$B40)*('A1 Inputs'!$C$8*(1+'A1 Inputs'!$C$8)^G$33/((1+'A1 Inputs'!$C$8)^G$33-1))+'A1 Orbital'!$C$20+'A1 Orbital'!$C$5*'A1 Inputs'!$C$21*$B40+('A1 Orbital'!$C$5*$B40+'A1 Orbital'!$C$10+'A1 Orbital'!$C$13*$B40)*'A1 Inputs'!$C$22)/('A1 Inputs'!$C$6*((1+(1-'A1 Inputs'!$C$20)^G$33)/2)))/'A1 Terrestrial'!$C$20</f>
        <v>5.82964038992125</v>
      </c>
      <c r="H40" s="78" t="n">
        <f aca="false">((('A1 Orbital'!$C$5*$B40+'A1 Orbital'!$C$10+'A1 Orbital'!$C$13*$B40)*('A1 Inputs'!$C$8*(1+'A1 Inputs'!$C$8)^H$33/((1+'A1 Inputs'!$C$8)^H$33-1))+'A1 Orbital'!$C$20+'A1 Orbital'!$C$5*'A1 Inputs'!$C$21*$B40+('A1 Orbital'!$C$5*$B40+'A1 Orbital'!$C$10+'A1 Orbital'!$C$13*$B40)*'A1 Inputs'!$C$22)/('A1 Inputs'!$C$6*((1+(1-'A1 Inputs'!$C$20)^H$33)/2)))/'A1 Terrestrial'!$C$20</f>
        <v>5.75144364064908</v>
      </c>
    </row>
    <row r="41" customFormat="false" ht="15" hidden="false" customHeight="true" outlineLevel="0" collapsed="false">
      <c r="B41" s="77" t="n">
        <v>7000</v>
      </c>
      <c r="C41" s="78" t="n">
        <f aca="false">((('A1 Orbital'!$C$5*$B41+'A1 Orbital'!$C$10+'A1 Orbital'!$C$13*$B41)*('A1 Inputs'!$C$8*(1+'A1 Inputs'!$C$8)^C$33/((1+'A1 Inputs'!$C$8)^C$33-1))+'A1 Orbital'!$C$20+'A1 Orbital'!$C$5*'A1 Inputs'!$C$21*$B41+('A1 Orbital'!$C$5*$B41+'A1 Orbital'!$C$10+'A1 Orbital'!$C$13*$B41)*'A1 Inputs'!$C$22)/('A1 Inputs'!$C$6*((1+(1-'A1 Inputs'!$C$20)^C$33)/2)))/'A1 Terrestrial'!$C$20</f>
        <v>14.1446260134115</v>
      </c>
      <c r="D41" s="78" t="n">
        <f aca="false">((('A1 Orbital'!$C$5*$B41+'A1 Orbital'!$C$10+'A1 Orbital'!$C$13*$B41)*('A1 Inputs'!$C$8*(1+'A1 Inputs'!$C$8)^D$33/((1+'A1 Inputs'!$C$8)^D$33-1))+'A1 Orbital'!$C$20+'A1 Orbital'!$C$5*'A1 Inputs'!$C$21*$B41+('A1 Orbital'!$C$5*$B41+'A1 Orbital'!$C$10+'A1 Orbital'!$C$13*$B41)*'A1 Inputs'!$C$22)/('A1 Inputs'!$C$6*((1+(1-'A1 Inputs'!$C$20)^D$33)/2)))/'A1 Terrestrial'!$C$20</f>
        <v>10.5019153499009</v>
      </c>
      <c r="E41" s="78" t="n">
        <f aca="false">((('A1 Orbital'!$C$5*$B41+'A1 Orbital'!$C$10+'A1 Orbital'!$C$13*$B41)*('A1 Inputs'!$C$8*(1+'A1 Inputs'!$C$8)^E$33/((1+'A1 Inputs'!$C$8)^E$33-1))+'A1 Orbital'!$C$20+'A1 Orbital'!$C$5*'A1 Inputs'!$C$21*$B41+('A1 Orbital'!$C$5*$B41+'A1 Orbital'!$C$10+'A1 Orbital'!$C$13*$B41)*'A1 Inputs'!$C$22)/('A1 Inputs'!$C$6*((1+(1-'A1 Inputs'!$C$20)^E$33)/2)))/'A1 Terrestrial'!$C$20</f>
        <v>9.03827042559826</v>
      </c>
      <c r="F41" s="78" t="n">
        <f aca="false">((('A1 Orbital'!$C$5*$B41+'A1 Orbital'!$C$10+'A1 Orbital'!$C$13*$B41)*('A1 Inputs'!$C$8*(1+'A1 Inputs'!$C$8)^F$33/((1+'A1 Inputs'!$C$8)^F$33-1))+'A1 Orbital'!$C$20+'A1 Orbital'!$C$5*'A1 Inputs'!$C$21*$B41+('A1 Orbital'!$C$5*$B41+'A1 Orbital'!$C$10+'A1 Orbital'!$C$13*$B41)*'A1 Inputs'!$C$22)/('A1 Inputs'!$C$6*((1+(1-'A1 Inputs'!$C$20)^F$33)/2)))/'A1 Terrestrial'!$C$20</f>
        <v>8.06966423345372</v>
      </c>
      <c r="G41" s="78" t="n">
        <f aca="false">((('A1 Orbital'!$C$5*$B41+'A1 Orbital'!$C$10+'A1 Orbital'!$C$13*$B41)*('A1 Inputs'!$C$8*(1+'A1 Inputs'!$C$8)^G$33/((1+'A1 Inputs'!$C$8)^G$33-1))+'A1 Orbital'!$C$20+'A1 Orbital'!$C$5*'A1 Inputs'!$C$21*$B41+('A1 Orbital'!$C$5*$B41+'A1 Orbital'!$C$10+'A1 Orbital'!$C$13*$B41)*'A1 Inputs'!$C$22)/('A1 Inputs'!$C$6*((1+(1-'A1 Inputs'!$C$20)^G$33)/2)))/'A1 Terrestrial'!$C$20</f>
        <v>7.59589743080436</v>
      </c>
      <c r="H41" s="78" t="n">
        <f aca="false">((('A1 Orbital'!$C$5*$B41+'A1 Orbital'!$C$10+'A1 Orbital'!$C$13*$B41)*('A1 Inputs'!$C$8*(1+'A1 Inputs'!$C$8)^H$33/((1+'A1 Inputs'!$C$8)^H$33-1))+'A1 Orbital'!$C$20+'A1 Orbital'!$C$5*'A1 Inputs'!$C$21*$B41+('A1 Orbital'!$C$5*$B41+'A1 Orbital'!$C$10+'A1 Orbital'!$C$13*$B41)*'A1 Inputs'!$C$22)/('A1 Inputs'!$C$6*((1+(1-'A1 Inputs'!$C$20)^H$33)/2)))/'A1 Terrestrial'!$C$20</f>
        <v>7.49220299046697</v>
      </c>
    </row>
    <row r="43" customFormat="false" ht="15" hidden="false" customHeight="true" outlineLevel="0" collapsed="false">
      <c r="B43" s="73" t="s">
        <v>211</v>
      </c>
    </row>
    <row r="44" customFormat="false" ht="15" hidden="false" customHeight="true" outlineLevel="0" collapsed="false">
      <c r="B44" s="73" t="s">
        <v>212</v>
      </c>
    </row>
    <row r="46" customFormat="false" ht="15" hidden="false" customHeight="true" outlineLevel="0" collapsed="false">
      <c r="B46" s="73"/>
    </row>
    <row r="48" customFormat="false" ht="15" hidden="false" customHeight="true" outlineLevel="0" collapsed="false">
      <c r="B48" s="79" t="s">
        <v>213</v>
      </c>
      <c r="C48" s="77" t="n">
        <v>300</v>
      </c>
      <c r="D48" s="73" t="s">
        <v>214</v>
      </c>
    </row>
    <row r="49" customFormat="false" ht="15" hidden="false" customHeight="true" outlineLevel="0" collapsed="false">
      <c r="B49" s="72" t="s">
        <v>215</v>
      </c>
    </row>
    <row r="50" customFormat="false" ht="15" hidden="false" customHeight="true" outlineLevel="0" collapsed="false">
      <c r="B50" s="73" t="s">
        <v>216</v>
      </c>
    </row>
    <row r="51" customFormat="false" ht="15" hidden="false" customHeight="true" outlineLevel="0" collapsed="false">
      <c r="B51" s="3" t="s">
        <v>217</v>
      </c>
      <c r="C51" s="80" t="n">
        <v>38</v>
      </c>
      <c r="D51" s="80" t="n">
        <v>50</v>
      </c>
      <c r="E51" s="80" t="n">
        <v>70</v>
      </c>
      <c r="F51" s="80" t="n">
        <v>100</v>
      </c>
      <c r="G51" s="80" t="n">
        <v>150</v>
      </c>
    </row>
    <row r="52" customFormat="false" ht="15" hidden="false" customHeight="true" outlineLevel="0" collapsed="false">
      <c r="B52" s="77" t="n">
        <v>49</v>
      </c>
      <c r="C52" s="81" t="n">
        <f aca="false">(('A1 Orbital'!$C$5*$C$48+(('A1 Inputs'!$C$6*1000000)*$B52)+'A1 Orbital'!$C$13*$C$48)*'A1 Orbital'!$C$18+(('A1 Inputs'!$C$6*1000000)*$B52)*'A1 Inputs'!$C$21+'A1 Orbital'!$C$5*'A1 Inputs'!$C$21*$C$48+('A1 Orbital'!$C$5*$C$48+(('A1 Inputs'!$C$6*1000000)*$B52)+'A1 Orbital'!$C$13*$C$48)*'A1 Inputs'!$C$22)/((('A1 Inputs'!$C$6*1000000)*C$51)*'A1 Inputs'!$C$32*'A1 Terrestrial'!$C$9+(('A1 Inputs'!$C$6*1000000)*C$51)*(1-'A1 Inputs'!$C$32)*'A1 Terrestrial'!$C$10+'A1 Terrestrial'!$C$14+(('A1 Inputs'!$C$6*1000000)*C$51)*'A1 Inputs'!$C$35)</f>
        <v>1.57846152394208</v>
      </c>
      <c r="D52" s="81" t="n">
        <f aca="false">(('A1 Orbital'!$C$5*$C$48+(('A1 Inputs'!$C$6*1000000)*$B52)+'A1 Orbital'!$C$13*$C$48)*'A1 Orbital'!$C$18+(('A1 Inputs'!$C$6*1000000)*$B52)*'A1 Inputs'!$C$21+'A1 Orbital'!$C$5*'A1 Inputs'!$C$21*$C$48+('A1 Orbital'!$C$5*$C$48+(('A1 Inputs'!$C$6*1000000)*$B52)+'A1 Orbital'!$C$13*$C$48)*'A1 Inputs'!$C$22)/((('A1 Inputs'!$C$6*1000000)*D$51)*'A1 Inputs'!$C$32*'A1 Terrestrial'!$C$9+(('A1 Inputs'!$C$6*1000000)*D$51)*(1-'A1 Inputs'!$C$32)*'A1 Terrestrial'!$C$10+'A1 Terrestrial'!$C$14+(('A1 Inputs'!$C$6*1000000)*D$51)*'A1 Inputs'!$C$35)</f>
        <v>1.22377988897655</v>
      </c>
      <c r="E52" s="81" t="n">
        <f aca="false">(('A1 Orbital'!$C$5*$C$48+(('A1 Inputs'!$C$6*1000000)*$B52)+'A1 Orbital'!$C$13*$C$48)*'A1 Orbital'!$C$18+(('A1 Inputs'!$C$6*1000000)*$B52)*'A1 Inputs'!$C$21+'A1 Orbital'!$C$5*'A1 Inputs'!$C$21*$C$48+('A1 Orbital'!$C$5*$C$48+(('A1 Inputs'!$C$6*1000000)*$B52)+'A1 Orbital'!$C$13*$C$48)*'A1 Inputs'!$C$22)/((('A1 Inputs'!$C$6*1000000)*E$51)*'A1 Inputs'!$C$32*'A1 Terrestrial'!$C$9+(('A1 Inputs'!$C$6*1000000)*E$51)*(1-'A1 Inputs'!$C$32)*'A1 Terrestrial'!$C$10+'A1 Terrestrial'!$C$14+(('A1 Inputs'!$C$6*1000000)*E$51)*'A1 Inputs'!$C$35)</f>
        <v>0.890344589409449</v>
      </c>
      <c r="F52" s="81" t="n">
        <f aca="false">(('A1 Orbital'!$C$5*$C$48+(('A1 Inputs'!$C$6*1000000)*$B52)+'A1 Orbital'!$C$13*$C$48)*'A1 Orbital'!$C$18+(('A1 Inputs'!$C$6*1000000)*$B52)*'A1 Inputs'!$C$21+'A1 Orbital'!$C$5*'A1 Inputs'!$C$21*$C$48+('A1 Orbital'!$C$5*$C$48+(('A1 Inputs'!$C$6*1000000)*$B52)+'A1 Orbital'!$C$13*$C$48)*'A1 Inputs'!$C$22)/((('A1 Inputs'!$C$6*1000000)*F$51)*'A1 Inputs'!$C$32*'A1 Terrestrial'!$C$9+(('A1 Inputs'!$C$6*1000000)*F$51)*(1-'A1 Inputs'!$C$32)*'A1 Terrestrial'!$C$10+'A1 Terrestrial'!$C$14+(('A1 Inputs'!$C$6*1000000)*F$51)*'A1 Inputs'!$C$35)</f>
        <v>0.632034948551498</v>
      </c>
      <c r="G52" s="81" t="n">
        <f aca="false">(('A1 Orbital'!$C$5*$C$48+(('A1 Inputs'!$C$6*1000000)*$B52)+'A1 Orbital'!$C$13*$C$48)*'A1 Orbital'!$C$18+(('A1 Inputs'!$C$6*1000000)*$B52)*'A1 Inputs'!$C$21+'A1 Orbital'!$C$5*'A1 Inputs'!$C$21*$C$48+('A1 Orbital'!$C$5*$C$48+(('A1 Inputs'!$C$6*1000000)*$B52)+'A1 Orbital'!$C$13*$C$48)*'A1 Inputs'!$C$22)/((('A1 Inputs'!$C$6*1000000)*G$51)*'A1 Inputs'!$C$32*'A1 Terrestrial'!$C$9+(('A1 Inputs'!$C$6*1000000)*G$51)*(1-'A1 Inputs'!$C$32)*'A1 Terrestrial'!$C$10+'A1 Terrestrial'!$C$14+(('A1 Inputs'!$C$6*1000000)*G$51)*'A1 Inputs'!$C$35)</f>
        <v>0.426031991764381</v>
      </c>
    </row>
    <row r="53" customFormat="false" ht="15" hidden="false" customHeight="true" outlineLevel="0" collapsed="false">
      <c r="B53" s="77" t="n">
        <v>40</v>
      </c>
      <c r="C53" s="81" t="n">
        <f aca="false">(('A1 Orbital'!$C$5*$C$48+(('A1 Inputs'!$C$6*1000000)*$B53)+'A1 Orbital'!$C$13*$C$48)*'A1 Orbital'!$C$18+(('A1 Inputs'!$C$6*1000000)*$B53)*'A1 Inputs'!$C$21+'A1 Orbital'!$C$5*'A1 Inputs'!$C$21*$C$48+('A1 Orbital'!$C$5*$C$48+(('A1 Inputs'!$C$6*1000000)*$B53)+'A1 Orbital'!$C$13*$C$48)*'A1 Inputs'!$C$22)/((('A1 Inputs'!$C$6*1000000)*C$51)*'A1 Inputs'!$C$32*'A1 Terrestrial'!$C$9+(('A1 Inputs'!$C$6*1000000)*C$51)*(1-'A1 Inputs'!$C$32)*'A1 Terrestrial'!$C$10+'A1 Terrestrial'!$C$14+(('A1 Inputs'!$C$6*1000000)*C$51)*'A1 Inputs'!$C$35)</f>
        <v>1.33450277238188</v>
      </c>
      <c r="D53" s="81" t="n">
        <f aca="false">(('A1 Orbital'!$C$5*$C$48+(('A1 Inputs'!$C$6*1000000)*$B53)+'A1 Orbital'!$C$13*$C$48)*'A1 Orbital'!$C$18+(('A1 Inputs'!$C$6*1000000)*$B53)*'A1 Inputs'!$C$21+'A1 Orbital'!$C$5*'A1 Inputs'!$C$21*$C$48+('A1 Orbital'!$C$5*$C$48+(('A1 Inputs'!$C$6*1000000)*$B53)+'A1 Orbital'!$C$13*$C$48)*'A1 Inputs'!$C$22)/((('A1 Inputs'!$C$6*1000000)*D$51)*'A1 Inputs'!$C$32*'A1 Terrestrial'!$C$9+(('A1 Inputs'!$C$6*1000000)*D$51)*(1-'A1 Inputs'!$C$32)*'A1 Terrestrial'!$C$10+'A1 Terrestrial'!$C$14+(('A1 Inputs'!$C$6*1000000)*D$51)*'A1 Inputs'!$C$35)</f>
        <v>1.03463887453256</v>
      </c>
      <c r="E53" s="81" t="n">
        <f aca="false">(('A1 Orbital'!$C$5*$C$48+(('A1 Inputs'!$C$6*1000000)*$B53)+'A1 Orbital'!$C$13*$C$48)*'A1 Orbital'!$C$18+(('A1 Inputs'!$C$6*1000000)*$B53)*'A1 Inputs'!$C$21+'A1 Orbital'!$C$5*'A1 Inputs'!$C$21*$C$48+('A1 Orbital'!$C$5*$C$48+(('A1 Inputs'!$C$6*1000000)*$B53)+'A1 Orbital'!$C$13*$C$48)*'A1 Inputs'!$C$22)/((('A1 Inputs'!$C$6*1000000)*E$51)*'A1 Inputs'!$C$32*'A1 Terrestrial'!$C$9+(('A1 Inputs'!$C$6*1000000)*E$51)*(1-'A1 Inputs'!$C$32)*'A1 Terrestrial'!$C$10+'A1 Terrestrial'!$C$14+(('A1 Inputs'!$C$6*1000000)*E$51)*'A1 Inputs'!$C$35)</f>
        <v>0.752737589684647</v>
      </c>
      <c r="F53" s="81" t="n">
        <f aca="false">(('A1 Orbital'!$C$5*$C$48+(('A1 Inputs'!$C$6*1000000)*$B53)+'A1 Orbital'!$C$13*$C$48)*'A1 Orbital'!$C$18+(('A1 Inputs'!$C$6*1000000)*$B53)*'A1 Inputs'!$C$21+'A1 Orbital'!$C$5*'A1 Inputs'!$C$21*$C$48+('A1 Orbital'!$C$5*$C$48+(('A1 Inputs'!$C$6*1000000)*$B53)+'A1 Orbital'!$C$13*$C$48)*'A1 Inputs'!$C$22)/((('A1 Inputs'!$C$6*1000000)*F$51)*'A1 Inputs'!$C$32*'A1 Terrestrial'!$C$9+(('A1 Inputs'!$C$6*1000000)*F$51)*(1-'A1 Inputs'!$C$32)*'A1 Terrestrial'!$C$10+'A1 Terrestrial'!$C$14+(('A1 Inputs'!$C$6*1000000)*F$51)*'A1 Inputs'!$C$35)</f>
        <v>0.534350934939332</v>
      </c>
      <c r="G53" s="81" t="n">
        <f aca="false">(('A1 Orbital'!$C$5*$C$48+(('A1 Inputs'!$C$6*1000000)*$B53)+'A1 Orbital'!$C$13*$C$48)*'A1 Orbital'!$C$18+(('A1 Inputs'!$C$6*1000000)*$B53)*'A1 Inputs'!$C$21+'A1 Orbital'!$C$5*'A1 Inputs'!$C$21*$C$48+('A1 Orbital'!$C$5*$C$48+(('A1 Inputs'!$C$6*1000000)*$B53)+'A1 Orbital'!$C$13*$C$48)*'A1 Inputs'!$C$22)/((('A1 Inputs'!$C$6*1000000)*G$51)*'A1 Inputs'!$C$32*'A1 Terrestrial'!$C$9+(('A1 Inputs'!$C$6*1000000)*G$51)*(1-'A1 Inputs'!$C$32)*'A1 Terrestrial'!$C$10+'A1 Terrestrial'!$C$14+(('A1 Inputs'!$C$6*1000000)*G$51)*'A1 Inputs'!$C$35)</f>
        <v>0.360186716945153</v>
      </c>
    </row>
    <row r="54" customFormat="false" ht="15" hidden="false" customHeight="true" outlineLevel="0" collapsed="false">
      <c r="B54" s="77" t="n">
        <v>30</v>
      </c>
      <c r="C54" s="81" t="n">
        <f aca="false">(('A1 Orbital'!$C$5*$C$48+(('A1 Inputs'!$C$6*1000000)*$B54)+'A1 Orbital'!$C$13*$C$48)*'A1 Orbital'!$C$18+(('A1 Inputs'!$C$6*1000000)*$B54)*'A1 Inputs'!$C$21+'A1 Orbital'!$C$5*'A1 Inputs'!$C$21*$C$48+('A1 Orbital'!$C$5*$C$48+(('A1 Inputs'!$C$6*1000000)*$B54)+'A1 Orbital'!$C$13*$C$48)*'A1 Inputs'!$C$22)/((('A1 Inputs'!$C$6*1000000)*C$51)*'A1 Inputs'!$C$32*'A1 Terrestrial'!$C$9+(('A1 Inputs'!$C$6*1000000)*C$51)*(1-'A1 Inputs'!$C$32)*'A1 Terrestrial'!$C$10+'A1 Terrestrial'!$C$14+(('A1 Inputs'!$C$6*1000000)*C$51)*'A1 Inputs'!$C$35)</f>
        <v>1.06343749287054</v>
      </c>
      <c r="D54" s="81" t="n">
        <f aca="false">(('A1 Orbital'!$C$5*$C$48+(('A1 Inputs'!$C$6*1000000)*$B54)+'A1 Orbital'!$C$13*$C$48)*'A1 Orbital'!$C$18+(('A1 Inputs'!$C$6*1000000)*$B54)*'A1 Inputs'!$C$21+'A1 Orbital'!$C$5*'A1 Inputs'!$C$21*$C$48+('A1 Orbital'!$C$5*$C$48+(('A1 Inputs'!$C$6*1000000)*$B54)+'A1 Orbital'!$C$13*$C$48)*'A1 Inputs'!$C$22)/((('A1 Inputs'!$C$6*1000000)*D$51)*'A1 Inputs'!$C$32*'A1 Terrestrial'!$C$9+(('A1 Inputs'!$C$6*1000000)*D$51)*(1-'A1 Inputs'!$C$32)*'A1 Terrestrial'!$C$10+'A1 Terrestrial'!$C$14+(('A1 Inputs'!$C$6*1000000)*D$51)*'A1 Inputs'!$C$35)</f>
        <v>0.824482191817027</v>
      </c>
      <c r="E54" s="81" t="n">
        <f aca="false">(('A1 Orbital'!$C$5*$C$48+(('A1 Inputs'!$C$6*1000000)*$B54)+'A1 Orbital'!$C$13*$C$48)*'A1 Orbital'!$C$18+(('A1 Inputs'!$C$6*1000000)*$B54)*'A1 Inputs'!$C$21+'A1 Orbital'!$C$5*'A1 Inputs'!$C$21*$C$48+('A1 Orbital'!$C$5*$C$48+(('A1 Inputs'!$C$6*1000000)*$B54)+'A1 Orbital'!$C$13*$C$48)*'A1 Inputs'!$C$22)/((('A1 Inputs'!$C$6*1000000)*E$51)*'A1 Inputs'!$C$32*'A1 Terrestrial'!$C$9+(('A1 Inputs'!$C$6*1000000)*E$51)*(1-'A1 Inputs'!$C$32)*'A1 Terrestrial'!$C$10+'A1 Terrestrial'!$C$14+(('A1 Inputs'!$C$6*1000000)*E$51)*'A1 Inputs'!$C$35)</f>
        <v>0.599840923323755</v>
      </c>
      <c r="F54" s="81" t="n">
        <f aca="false">(('A1 Orbital'!$C$5*$C$48+(('A1 Inputs'!$C$6*1000000)*$B54)+'A1 Orbital'!$C$13*$C$48)*'A1 Orbital'!$C$18+(('A1 Inputs'!$C$6*1000000)*$B54)*'A1 Inputs'!$C$21+'A1 Orbital'!$C$5*'A1 Inputs'!$C$21*$C$48+('A1 Orbital'!$C$5*$C$48+(('A1 Inputs'!$C$6*1000000)*$B54)+'A1 Orbital'!$C$13*$C$48)*'A1 Inputs'!$C$22)/((('A1 Inputs'!$C$6*1000000)*F$51)*'A1 Inputs'!$C$32*'A1 Terrestrial'!$C$9+(('A1 Inputs'!$C$6*1000000)*F$51)*(1-'A1 Inputs'!$C$32)*'A1 Terrestrial'!$C$10+'A1 Terrestrial'!$C$14+(('A1 Inputs'!$C$6*1000000)*F$51)*'A1 Inputs'!$C$35)</f>
        <v>0.425813142036924</v>
      </c>
      <c r="G54" s="81" t="n">
        <f aca="false">(('A1 Orbital'!$C$5*$C$48+(('A1 Inputs'!$C$6*1000000)*$B54)+'A1 Orbital'!$C$13*$C$48)*'A1 Orbital'!$C$18+(('A1 Inputs'!$C$6*1000000)*$B54)*'A1 Inputs'!$C$21+'A1 Orbital'!$C$5*'A1 Inputs'!$C$21*$C$48+('A1 Orbital'!$C$5*$C$48+(('A1 Inputs'!$C$6*1000000)*$B54)+'A1 Orbital'!$C$13*$C$48)*'A1 Inputs'!$C$22)/((('A1 Inputs'!$C$6*1000000)*G$51)*'A1 Inputs'!$C$32*'A1 Terrestrial'!$C$9+(('A1 Inputs'!$C$6*1000000)*G$51)*(1-'A1 Inputs'!$C$32)*'A1 Terrestrial'!$C$10+'A1 Terrestrial'!$C$14+(('A1 Inputs'!$C$6*1000000)*G$51)*'A1 Inputs'!$C$35)</f>
        <v>0.287025300479344</v>
      </c>
    </row>
    <row r="55" customFormat="false" ht="15" hidden="false" customHeight="true" outlineLevel="0" collapsed="false">
      <c r="B55" s="77" t="n">
        <v>25</v>
      </c>
      <c r="C55" s="81" t="n">
        <f aca="false">(('A1 Orbital'!$C$5*$C$48+(('A1 Inputs'!$C$6*1000000)*$B55)+'A1 Orbital'!$C$13*$C$48)*'A1 Orbital'!$C$18+(('A1 Inputs'!$C$6*1000000)*$B55)*'A1 Inputs'!$C$21+'A1 Orbital'!$C$5*'A1 Inputs'!$C$21*$C$48+('A1 Orbital'!$C$5*$C$48+(('A1 Inputs'!$C$6*1000000)*$B55)+'A1 Orbital'!$C$13*$C$48)*'A1 Inputs'!$C$22)/((('A1 Inputs'!$C$6*1000000)*C$51)*'A1 Inputs'!$C$32*'A1 Terrestrial'!$C$9+(('A1 Inputs'!$C$6*1000000)*C$51)*(1-'A1 Inputs'!$C$32)*'A1 Terrestrial'!$C$10+'A1 Terrestrial'!$C$14+(('A1 Inputs'!$C$6*1000000)*C$51)*'A1 Inputs'!$C$35)</f>
        <v>0.927904853114874</v>
      </c>
      <c r="D55" s="81" t="n">
        <f aca="false">(('A1 Orbital'!$C$5*$C$48+(('A1 Inputs'!$C$6*1000000)*$B55)+'A1 Orbital'!$C$13*$C$48)*'A1 Orbital'!$C$18+(('A1 Inputs'!$C$6*1000000)*$B55)*'A1 Inputs'!$C$21+'A1 Orbital'!$C$5*'A1 Inputs'!$C$21*$C$48+('A1 Orbital'!$C$5*$C$48+(('A1 Inputs'!$C$6*1000000)*$B55)+'A1 Orbital'!$C$13*$C$48)*'A1 Inputs'!$C$22)/((('A1 Inputs'!$C$6*1000000)*D$51)*'A1 Inputs'!$C$32*'A1 Terrestrial'!$C$9+(('A1 Inputs'!$C$6*1000000)*D$51)*(1-'A1 Inputs'!$C$32)*'A1 Terrestrial'!$C$10+'A1 Terrestrial'!$C$14+(('A1 Inputs'!$C$6*1000000)*D$51)*'A1 Inputs'!$C$35)</f>
        <v>0.719403850459259</v>
      </c>
      <c r="E55" s="81" t="n">
        <f aca="false">(('A1 Orbital'!$C$5*$C$48+(('A1 Inputs'!$C$6*1000000)*$B55)+'A1 Orbital'!$C$13*$C$48)*'A1 Orbital'!$C$18+(('A1 Inputs'!$C$6*1000000)*$B55)*'A1 Inputs'!$C$21+'A1 Orbital'!$C$5*'A1 Inputs'!$C$21*$C$48+('A1 Orbital'!$C$5*$C$48+(('A1 Inputs'!$C$6*1000000)*$B55)+'A1 Orbital'!$C$13*$C$48)*'A1 Inputs'!$C$22)/((('A1 Inputs'!$C$6*1000000)*E$51)*'A1 Inputs'!$C$32*'A1 Terrestrial'!$C$9+(('A1 Inputs'!$C$6*1000000)*E$51)*(1-'A1 Inputs'!$C$32)*'A1 Terrestrial'!$C$10+'A1 Terrestrial'!$C$14+(('A1 Inputs'!$C$6*1000000)*E$51)*'A1 Inputs'!$C$35)</f>
        <v>0.523392590143309</v>
      </c>
      <c r="F55" s="81" t="n">
        <f aca="false">(('A1 Orbital'!$C$5*$C$48+(('A1 Inputs'!$C$6*1000000)*$B55)+'A1 Orbital'!$C$13*$C$48)*'A1 Orbital'!$C$18+(('A1 Inputs'!$C$6*1000000)*$B55)*'A1 Inputs'!$C$21+'A1 Orbital'!$C$5*'A1 Inputs'!$C$21*$C$48+('A1 Orbital'!$C$5*$C$48+(('A1 Inputs'!$C$6*1000000)*$B55)+'A1 Orbital'!$C$13*$C$48)*'A1 Inputs'!$C$22)/((('A1 Inputs'!$C$6*1000000)*F$51)*'A1 Inputs'!$C$32*'A1 Terrestrial'!$C$9+(('A1 Inputs'!$C$6*1000000)*F$51)*(1-'A1 Inputs'!$C$32)*'A1 Terrestrial'!$C$10+'A1 Terrestrial'!$C$14+(('A1 Inputs'!$C$6*1000000)*F$51)*'A1 Inputs'!$C$35)</f>
        <v>0.37154424558572</v>
      </c>
      <c r="G55" s="81" t="n">
        <f aca="false">(('A1 Orbital'!$C$5*$C$48+(('A1 Inputs'!$C$6*1000000)*$B55)+'A1 Orbital'!$C$13*$C$48)*'A1 Orbital'!$C$18+(('A1 Inputs'!$C$6*1000000)*$B55)*'A1 Inputs'!$C$21+'A1 Orbital'!$C$5*'A1 Inputs'!$C$21*$C$48+('A1 Orbital'!$C$5*$C$48+(('A1 Inputs'!$C$6*1000000)*$B55)+'A1 Orbital'!$C$13*$C$48)*'A1 Inputs'!$C$22)/((('A1 Inputs'!$C$6*1000000)*G$51)*'A1 Inputs'!$C$32*'A1 Terrestrial'!$C$9+(('A1 Inputs'!$C$6*1000000)*G$51)*(1-'A1 Inputs'!$C$32)*'A1 Terrestrial'!$C$10+'A1 Terrestrial'!$C$14+(('A1 Inputs'!$C$6*1000000)*G$51)*'A1 Inputs'!$C$35)</f>
        <v>0.250444592246439</v>
      </c>
    </row>
    <row r="56" customFormat="false" ht="15" hidden="false" customHeight="true" outlineLevel="0" collapsed="false">
      <c r="B56" s="77" t="n">
        <v>20</v>
      </c>
      <c r="C56" s="81" t="n">
        <f aca="false">(('A1 Orbital'!$C$5*$C$48+(('A1 Inputs'!$C$6*1000000)*$B56)+'A1 Orbital'!$C$13*$C$48)*'A1 Orbital'!$C$18+(('A1 Inputs'!$C$6*1000000)*$B56)*'A1 Inputs'!$C$21+'A1 Orbital'!$C$5*'A1 Inputs'!$C$21*$C$48+('A1 Orbital'!$C$5*$C$48+(('A1 Inputs'!$C$6*1000000)*$B56)+'A1 Orbital'!$C$13*$C$48)*'A1 Inputs'!$C$22)/((('A1 Inputs'!$C$6*1000000)*C$51)*'A1 Inputs'!$C$32*'A1 Terrestrial'!$C$9+(('A1 Inputs'!$C$6*1000000)*C$51)*(1-'A1 Inputs'!$C$32)*'A1 Terrestrial'!$C$10+'A1 Terrestrial'!$C$14+(('A1 Inputs'!$C$6*1000000)*C$51)*'A1 Inputs'!$C$35)</f>
        <v>0.792372213359207</v>
      </c>
      <c r="D56" s="81" t="n">
        <f aca="false">(('A1 Orbital'!$C$5*$C$48+(('A1 Inputs'!$C$6*1000000)*$B56)+'A1 Orbital'!$C$13*$C$48)*'A1 Orbital'!$C$18+(('A1 Inputs'!$C$6*1000000)*$B56)*'A1 Inputs'!$C$21+'A1 Orbital'!$C$5*'A1 Inputs'!$C$21*$C$48+('A1 Orbital'!$C$5*$C$48+(('A1 Inputs'!$C$6*1000000)*$B56)+'A1 Orbital'!$C$13*$C$48)*'A1 Inputs'!$C$22)/((('A1 Inputs'!$C$6*1000000)*D$51)*'A1 Inputs'!$C$32*'A1 Terrestrial'!$C$9+(('A1 Inputs'!$C$6*1000000)*D$51)*(1-'A1 Inputs'!$C$32)*'A1 Terrestrial'!$C$10+'A1 Terrestrial'!$C$14+(('A1 Inputs'!$C$6*1000000)*D$51)*'A1 Inputs'!$C$35)</f>
        <v>0.614325509101491</v>
      </c>
      <c r="E56" s="81" t="n">
        <f aca="false">(('A1 Orbital'!$C$5*$C$48+(('A1 Inputs'!$C$6*1000000)*$B56)+'A1 Orbital'!$C$13*$C$48)*'A1 Orbital'!$C$18+(('A1 Inputs'!$C$6*1000000)*$B56)*'A1 Inputs'!$C$21+'A1 Orbital'!$C$5*'A1 Inputs'!$C$21*$C$48+('A1 Orbital'!$C$5*$C$48+(('A1 Inputs'!$C$6*1000000)*$B56)+'A1 Orbital'!$C$13*$C$48)*'A1 Inputs'!$C$22)/((('A1 Inputs'!$C$6*1000000)*E$51)*'A1 Inputs'!$C$32*'A1 Terrestrial'!$C$9+(('A1 Inputs'!$C$6*1000000)*E$51)*(1-'A1 Inputs'!$C$32)*'A1 Terrestrial'!$C$10+'A1 Terrestrial'!$C$14+(('A1 Inputs'!$C$6*1000000)*E$51)*'A1 Inputs'!$C$35)</f>
        <v>0.446944256962863</v>
      </c>
      <c r="F56" s="81" t="n">
        <f aca="false">(('A1 Orbital'!$C$5*$C$48+(('A1 Inputs'!$C$6*1000000)*$B56)+'A1 Orbital'!$C$13*$C$48)*'A1 Orbital'!$C$18+(('A1 Inputs'!$C$6*1000000)*$B56)*'A1 Inputs'!$C$21+'A1 Orbital'!$C$5*'A1 Inputs'!$C$21*$C$48+('A1 Orbital'!$C$5*$C$48+(('A1 Inputs'!$C$6*1000000)*$B56)+'A1 Orbital'!$C$13*$C$48)*'A1 Inputs'!$C$22)/((('A1 Inputs'!$C$6*1000000)*F$51)*'A1 Inputs'!$C$32*'A1 Terrestrial'!$C$9+(('A1 Inputs'!$C$6*1000000)*F$51)*(1-'A1 Inputs'!$C$32)*'A1 Terrestrial'!$C$10+'A1 Terrestrial'!$C$14+(('A1 Inputs'!$C$6*1000000)*F$51)*'A1 Inputs'!$C$35)</f>
        <v>0.317275349134517</v>
      </c>
      <c r="G56" s="81" t="n">
        <f aca="false">(('A1 Orbital'!$C$5*$C$48+(('A1 Inputs'!$C$6*1000000)*$B56)+'A1 Orbital'!$C$13*$C$48)*'A1 Orbital'!$C$18+(('A1 Inputs'!$C$6*1000000)*$B56)*'A1 Inputs'!$C$21+'A1 Orbital'!$C$5*'A1 Inputs'!$C$21*$C$48+('A1 Orbital'!$C$5*$C$48+(('A1 Inputs'!$C$6*1000000)*$B56)+'A1 Orbital'!$C$13*$C$48)*'A1 Inputs'!$C$22)/((('A1 Inputs'!$C$6*1000000)*G$51)*'A1 Inputs'!$C$32*'A1 Terrestrial'!$C$9+(('A1 Inputs'!$C$6*1000000)*G$51)*(1-'A1 Inputs'!$C$32)*'A1 Terrestrial'!$C$10+'A1 Terrestrial'!$C$14+(('A1 Inputs'!$C$6*1000000)*G$51)*'A1 Inputs'!$C$35)</f>
        <v>0.213863884013534</v>
      </c>
    </row>
    <row r="57" customFormat="false" ht="15" hidden="false" customHeight="true" outlineLevel="0" collapsed="false">
      <c r="B57" s="77" t="n">
        <v>15</v>
      </c>
      <c r="C57" s="81" t="n">
        <f aca="false">(('A1 Orbital'!$C$5*$C$48+(('A1 Inputs'!$C$6*1000000)*$B57)+'A1 Orbital'!$C$13*$C$48)*'A1 Orbital'!$C$18+(('A1 Inputs'!$C$6*1000000)*$B57)*'A1 Inputs'!$C$21+'A1 Orbital'!$C$5*'A1 Inputs'!$C$21*$C$48+('A1 Orbital'!$C$5*$C$48+(('A1 Inputs'!$C$6*1000000)*$B57)+'A1 Orbital'!$C$13*$C$48)*'A1 Inputs'!$C$22)/((('A1 Inputs'!$C$6*1000000)*C$51)*'A1 Inputs'!$C$32*'A1 Terrestrial'!$C$9+(('A1 Inputs'!$C$6*1000000)*C$51)*(1-'A1 Inputs'!$C$32)*'A1 Terrestrial'!$C$10+'A1 Terrestrial'!$C$14+(('A1 Inputs'!$C$6*1000000)*C$51)*'A1 Inputs'!$C$35)</f>
        <v>0.656839573603541</v>
      </c>
      <c r="D57" s="81" t="n">
        <f aca="false">(('A1 Orbital'!$C$5*$C$48+(('A1 Inputs'!$C$6*1000000)*$B57)+'A1 Orbital'!$C$13*$C$48)*'A1 Orbital'!$C$18+(('A1 Inputs'!$C$6*1000000)*$B57)*'A1 Inputs'!$C$21+'A1 Orbital'!$C$5*'A1 Inputs'!$C$21*$C$48+('A1 Orbital'!$C$5*$C$48+(('A1 Inputs'!$C$6*1000000)*$B57)+'A1 Orbital'!$C$13*$C$48)*'A1 Inputs'!$C$22)/((('A1 Inputs'!$C$6*1000000)*D$51)*'A1 Inputs'!$C$32*'A1 Terrestrial'!$C$9+(('A1 Inputs'!$C$6*1000000)*D$51)*(1-'A1 Inputs'!$C$32)*'A1 Terrestrial'!$C$10+'A1 Terrestrial'!$C$14+(('A1 Inputs'!$C$6*1000000)*D$51)*'A1 Inputs'!$C$35)</f>
        <v>0.509247167743723</v>
      </c>
      <c r="E57" s="81" t="n">
        <f aca="false">(('A1 Orbital'!$C$5*$C$48+(('A1 Inputs'!$C$6*1000000)*$B57)+'A1 Orbital'!$C$13*$C$48)*'A1 Orbital'!$C$18+(('A1 Inputs'!$C$6*1000000)*$B57)*'A1 Inputs'!$C$21+'A1 Orbital'!$C$5*'A1 Inputs'!$C$21*$C$48+('A1 Orbital'!$C$5*$C$48+(('A1 Inputs'!$C$6*1000000)*$B57)+'A1 Orbital'!$C$13*$C$48)*'A1 Inputs'!$C$22)/((('A1 Inputs'!$C$6*1000000)*E$51)*'A1 Inputs'!$C$32*'A1 Terrestrial'!$C$9+(('A1 Inputs'!$C$6*1000000)*E$51)*(1-'A1 Inputs'!$C$32)*'A1 Terrestrial'!$C$10+'A1 Terrestrial'!$C$14+(('A1 Inputs'!$C$6*1000000)*E$51)*'A1 Inputs'!$C$35)</f>
        <v>0.370495923782418</v>
      </c>
      <c r="F57" s="81" t="n">
        <f aca="false">(('A1 Orbital'!$C$5*$C$48+(('A1 Inputs'!$C$6*1000000)*$B57)+'A1 Orbital'!$C$13*$C$48)*'A1 Orbital'!$C$18+(('A1 Inputs'!$C$6*1000000)*$B57)*'A1 Inputs'!$C$21+'A1 Orbital'!$C$5*'A1 Inputs'!$C$21*$C$48+('A1 Orbital'!$C$5*$C$48+(('A1 Inputs'!$C$6*1000000)*$B57)+'A1 Orbital'!$C$13*$C$48)*'A1 Inputs'!$C$22)/((('A1 Inputs'!$C$6*1000000)*F$51)*'A1 Inputs'!$C$32*'A1 Terrestrial'!$C$9+(('A1 Inputs'!$C$6*1000000)*F$51)*(1-'A1 Inputs'!$C$32)*'A1 Terrestrial'!$C$10+'A1 Terrestrial'!$C$14+(('A1 Inputs'!$C$6*1000000)*F$51)*'A1 Inputs'!$C$35)</f>
        <v>0.263006452683313</v>
      </c>
      <c r="G57" s="81" t="n">
        <f aca="false">(('A1 Orbital'!$C$5*$C$48+(('A1 Inputs'!$C$6*1000000)*$B57)+'A1 Orbital'!$C$13*$C$48)*'A1 Orbital'!$C$18+(('A1 Inputs'!$C$6*1000000)*$B57)*'A1 Inputs'!$C$21+'A1 Orbital'!$C$5*'A1 Inputs'!$C$21*$C$48+('A1 Orbital'!$C$5*$C$48+(('A1 Inputs'!$C$6*1000000)*$B57)+'A1 Orbital'!$C$13*$C$48)*'A1 Inputs'!$C$22)/((('A1 Inputs'!$C$6*1000000)*G$51)*'A1 Inputs'!$C$32*'A1 Terrestrial'!$C$9+(('A1 Inputs'!$C$6*1000000)*G$51)*(1-'A1 Inputs'!$C$32)*'A1 Terrestrial'!$C$10+'A1 Terrestrial'!$C$14+(('A1 Inputs'!$C$6*1000000)*G$51)*'A1 Inputs'!$C$35)</f>
        <v>0.177283175780629</v>
      </c>
    </row>
    <row r="59" customFormat="false" ht="15" hidden="false" customHeight="true" outlineLevel="0" collapsed="false">
      <c r="B59" s="73" t="s">
        <v>218</v>
      </c>
    </row>
    <row r="61" customFormat="false" ht="15" hidden="false" customHeight="true" outlineLevel="0" collapsed="false">
      <c r="B61" s="72" t="s">
        <v>219</v>
      </c>
    </row>
    <row r="62" customFormat="false" ht="15" hidden="false" customHeight="true" outlineLevel="0" collapsed="false">
      <c r="B62" s="73" t="s">
        <v>220</v>
      </c>
    </row>
    <row r="63" customFormat="false" ht="15" hidden="false" customHeight="true" outlineLevel="0" collapsed="false">
      <c r="B63" s="3" t="s">
        <v>221</v>
      </c>
      <c r="C63" s="82" t="n">
        <v>150</v>
      </c>
      <c r="D63" s="82" t="n">
        <v>100</v>
      </c>
      <c r="E63" s="73" t="s">
        <v>222</v>
      </c>
    </row>
    <row r="64" customFormat="false" ht="15" hidden="false" customHeight="true" outlineLevel="0" collapsed="false">
      <c r="B64" s="77" t="n">
        <v>200</v>
      </c>
      <c r="C64" s="83" t="n">
        <f aca="false">$B64*C$63/1000</f>
        <v>30</v>
      </c>
      <c r="D64" s="83" t="n">
        <f aca="false">$B64*D$63/1000</f>
        <v>20</v>
      </c>
    </row>
    <row r="65" customFormat="false" ht="15" hidden="false" customHeight="true" outlineLevel="0" collapsed="false">
      <c r="B65" s="77" t="n">
        <v>300</v>
      </c>
      <c r="C65" s="83" t="n">
        <f aca="false">$B65*C$63/1000</f>
        <v>45</v>
      </c>
      <c r="D65" s="83" t="n">
        <f aca="false">$B65*D$63/1000</f>
        <v>30</v>
      </c>
    </row>
    <row r="66" customFormat="false" ht="15" hidden="false" customHeight="true" outlineLevel="0" collapsed="false">
      <c r="B66" s="77" t="n">
        <v>500</v>
      </c>
      <c r="C66" s="83" t="n">
        <f aca="false">$B66*C$63/1000</f>
        <v>75</v>
      </c>
      <c r="D66" s="83" t="n">
        <f aca="false">$B66*D$63/1000</f>
        <v>50</v>
      </c>
    </row>
    <row r="67" customFormat="false" ht="15" hidden="false" customHeight="true" outlineLevel="0" collapsed="false">
      <c r="B67" s="77" t="n">
        <v>1000</v>
      </c>
      <c r="C67" s="83" t="n">
        <f aca="false">$B67*C$63/1000</f>
        <v>150</v>
      </c>
      <c r="D67" s="83" t="n">
        <f aca="false">$B67*D$63/1000</f>
        <v>100</v>
      </c>
    </row>
    <row r="69" customFormat="false" ht="15" hidden="false" customHeight="true" outlineLevel="0" collapsed="false">
      <c r="B69" s="3" t="s">
        <v>223</v>
      </c>
      <c r="C69" s="82" t="n">
        <v>150</v>
      </c>
      <c r="D69" s="82" t="n">
        <v>100</v>
      </c>
      <c r="E69" s="73" t="s">
        <v>224</v>
      </c>
    </row>
    <row r="70" customFormat="false" ht="15" hidden="false" customHeight="true" outlineLevel="0" collapsed="false">
      <c r="B70" s="84" t="n">
        <v>10</v>
      </c>
      <c r="C70" s="85" t="n">
        <f aca="false">$B70*1000/C$69</f>
        <v>66.6666666666667</v>
      </c>
      <c r="D70" s="85" t="n">
        <f aca="false">$B70*1000/D$69</f>
        <v>100</v>
      </c>
    </row>
    <row r="71" customFormat="false" ht="15" hidden="false" customHeight="true" outlineLevel="0" collapsed="false">
      <c r="B71" s="84" t="n">
        <v>3</v>
      </c>
      <c r="C71" s="85" t="n">
        <f aca="false">$B71*1000/C$69</f>
        <v>20</v>
      </c>
      <c r="D71" s="85" t="n">
        <f aca="false">$B71*1000/D$69</f>
        <v>30</v>
      </c>
    </row>
    <row r="72" customFormat="false" ht="15" hidden="false" customHeight="true" outlineLevel="0" collapsed="false">
      <c r="B72" s="84" t="n">
        <v>2</v>
      </c>
      <c r="C72" s="85" t="n">
        <f aca="false">$B72*1000/C$69</f>
        <v>13.3333333333333</v>
      </c>
      <c r="D72" s="85" t="n">
        <f aca="false">$B72*1000/D$69</f>
        <v>20</v>
      </c>
    </row>
    <row r="73" customFormat="false" ht="15" hidden="false" customHeight="true" outlineLevel="0" collapsed="false">
      <c r="B73" s="84" t="n">
        <v>1</v>
      </c>
      <c r="C73" s="85" t="n">
        <f aca="false">$B73*1000/C$69</f>
        <v>6.66666666666667</v>
      </c>
      <c r="D73" s="85" t="n">
        <f aca="false">$B73*1000/D$69</f>
        <v>10</v>
      </c>
    </row>
    <row r="75" customFormat="false" ht="15" hidden="false" customHeight="true" outlineLevel="0" collapsed="false">
      <c r="B75" s="73" t="s">
        <v>225</v>
      </c>
    </row>
    <row r="77" customFormat="false" ht="15" hidden="false" customHeight="true" outlineLevel="0" collapsed="false">
      <c r="B77" s="73" t="s">
        <v>118</v>
      </c>
    </row>
  </sheetData>
  <conditionalFormatting sqref="C8:I15">
    <cfRule type="cellIs" priority="2" operator="lessThan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1</formula>
      <formula>2</formula>
    </cfRule>
    <cfRule type="cellIs" priority="4" operator="greaterThan" aboveAverage="0" equalAverage="0" bottom="0" percent="0" rank="0" text="" dxfId="2">
      <formula>2</formula>
    </cfRule>
  </conditionalFormatting>
  <conditionalFormatting sqref="C34:H41">
    <cfRule type="cellIs" priority="5" operator="lessThanOrEqual" aboveAverage="0" equalAverage="0" bottom="0" percent="0" rank="0" text="" dxfId="3">
      <formula>1</formula>
    </cfRule>
    <cfRule type="cellIs" priority="6" operator="between" aboveAverage="0" equalAverage="0" bottom="0" percent="0" rank="0" text="" dxfId="1">
      <formula>1</formula>
      <formula>2</formula>
    </cfRule>
    <cfRule type="cellIs" priority="7" operator="greaterThan" aboveAverage="0" equalAverage="0" bottom="0" percent="0" rank="0" text="" dxfId="4">
      <formula>2</formula>
    </cfRule>
  </conditionalFormatting>
  <conditionalFormatting sqref="C52:G57">
    <cfRule type="cellIs" priority="8" operator="lessThanOrEqual" aboveAverage="0" equalAverage="0" bottom="0" percent="0" rank="0" text="" dxfId="3">
      <formula>1</formula>
    </cfRule>
    <cfRule type="cellIs" priority="9" operator="between" aboveAverage="0" equalAverage="0" bottom="0" percent="0" rank="0" text="" dxfId="1">
      <formula>1</formula>
      <formula>1.5</formula>
    </cfRule>
    <cfRule type="cellIs" priority="10" operator="greaterThan" aboveAverage="0" equalAverage="0" bottom="0" percent="0" rank="0" text="" dxfId="4">
      <formula>1.5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6" style="0" width="58"/>
  </cols>
  <sheetData>
    <row r="2" customFormat="false" ht="18" hidden="false" customHeight="true" outlineLevel="0" collapsed="false">
      <c r="B2" s="22" t="s">
        <v>54</v>
      </c>
    </row>
    <row r="3" customFormat="false" ht="15" hidden="false" customHeight="true" outlineLevel="0" collapsed="false">
      <c r="B3" s="23" t="s">
        <v>226</v>
      </c>
    </row>
    <row r="5" customFormat="false" ht="15" hidden="false" customHeight="true" outlineLevel="0" collapsed="false">
      <c r="B5" s="25" t="s">
        <v>227</v>
      </c>
      <c r="C5" s="25"/>
      <c r="D5" s="25"/>
      <c r="E5" s="25"/>
      <c r="F5" s="25"/>
    </row>
    <row r="6" customFormat="false" ht="15" hidden="false" customHeight="true" outlineLevel="0" collapsed="false">
      <c r="B6" s="26" t="s">
        <v>228</v>
      </c>
      <c r="C6" s="31" t="s">
        <v>229</v>
      </c>
      <c r="D6" s="28"/>
      <c r="E6" s="36" t="s">
        <v>110</v>
      </c>
      <c r="F6" s="30" t="s">
        <v>230</v>
      </c>
    </row>
    <row r="7" customFormat="false" ht="15" hidden="false" customHeight="true" outlineLevel="0" collapsed="false">
      <c r="B7" s="26" t="s">
        <v>231</v>
      </c>
      <c r="C7" s="35" t="n">
        <v>2000000</v>
      </c>
      <c r="D7" s="28" t="s">
        <v>232</v>
      </c>
      <c r="E7" s="33" t="s">
        <v>34</v>
      </c>
      <c r="F7" s="30" t="s">
        <v>233</v>
      </c>
    </row>
    <row r="8" customFormat="false" ht="15" hidden="false" customHeight="true" outlineLevel="0" collapsed="false">
      <c r="B8" s="26" t="s">
        <v>234</v>
      </c>
      <c r="C8" s="40" t="n">
        <v>0.25</v>
      </c>
      <c r="D8" s="28" t="s">
        <v>33</v>
      </c>
      <c r="E8" s="29" t="s">
        <v>42</v>
      </c>
      <c r="F8" s="30" t="s">
        <v>235</v>
      </c>
    </row>
    <row r="9" customFormat="false" ht="15" hidden="false" customHeight="true" outlineLevel="0" collapsed="false">
      <c r="B9" s="26" t="s">
        <v>236</v>
      </c>
      <c r="C9" s="31" t="n">
        <v>7</v>
      </c>
      <c r="D9" s="28" t="s">
        <v>61</v>
      </c>
      <c r="E9" s="29" t="s">
        <v>42</v>
      </c>
      <c r="F9" s="30" t="s">
        <v>237</v>
      </c>
    </row>
    <row r="10" customFormat="false" ht="15" hidden="false" customHeight="true" outlineLevel="0" collapsed="false">
      <c r="B10" s="26" t="s">
        <v>32</v>
      </c>
      <c r="C10" s="32" t="n">
        <f aca="false">'Global Assumptions'!$C$6</f>
        <v>0.12</v>
      </c>
      <c r="D10" s="28" t="s">
        <v>33</v>
      </c>
      <c r="E10" s="33" t="s">
        <v>34</v>
      </c>
      <c r="F10" s="30" t="s">
        <v>238</v>
      </c>
    </row>
    <row r="12" customFormat="false" ht="15" hidden="false" customHeight="true" outlineLevel="0" collapsed="false">
      <c r="B12" s="25" t="s">
        <v>239</v>
      </c>
      <c r="C12" s="25"/>
      <c r="D12" s="25"/>
      <c r="E12" s="25"/>
      <c r="F12" s="25"/>
    </row>
    <row r="13" customFormat="false" ht="15" hidden="false" customHeight="true" outlineLevel="0" collapsed="false">
      <c r="B13" s="26" t="s">
        <v>240</v>
      </c>
      <c r="C13" s="86" t="n">
        <v>4.5</v>
      </c>
      <c r="D13" s="28" t="s">
        <v>241</v>
      </c>
      <c r="E13" s="33" t="s">
        <v>34</v>
      </c>
      <c r="F13" s="30" t="s">
        <v>242</v>
      </c>
    </row>
    <row r="14" customFormat="false" ht="15" hidden="false" customHeight="true" outlineLevel="0" collapsed="false">
      <c r="B14" s="26" t="s">
        <v>243</v>
      </c>
      <c r="C14" s="40" t="n">
        <v>0.03</v>
      </c>
      <c r="D14" s="28" t="s">
        <v>33</v>
      </c>
      <c r="E14" s="29" t="s">
        <v>42</v>
      </c>
      <c r="F14" s="30" t="s">
        <v>244</v>
      </c>
    </row>
    <row r="16" customFormat="false" ht="15" hidden="false" customHeight="true" outlineLevel="0" collapsed="false">
      <c r="B16" s="25" t="s">
        <v>245</v>
      </c>
      <c r="C16" s="25"/>
      <c r="D16" s="25"/>
      <c r="E16" s="25"/>
      <c r="F16" s="25"/>
    </row>
    <row r="17" customFormat="false" ht="15" hidden="false" customHeight="true" outlineLevel="0" collapsed="false">
      <c r="B17" s="26" t="s">
        <v>246</v>
      </c>
      <c r="C17" s="87" t="n">
        <v>35000000</v>
      </c>
      <c r="D17" s="28" t="s">
        <v>131</v>
      </c>
      <c r="E17" s="33" t="s">
        <v>34</v>
      </c>
      <c r="F17" s="30" t="s">
        <v>247</v>
      </c>
    </row>
    <row r="18" customFormat="false" ht="15" hidden="false" customHeight="true" outlineLevel="0" collapsed="false">
      <c r="B18" s="26" t="s">
        <v>248</v>
      </c>
      <c r="C18" s="31" t="n">
        <v>7</v>
      </c>
      <c r="D18" s="28" t="s">
        <v>61</v>
      </c>
      <c r="E18" s="29" t="s">
        <v>42</v>
      </c>
      <c r="F18" s="30" t="s">
        <v>249</v>
      </c>
    </row>
    <row r="19" customFormat="false" ht="15" hidden="false" customHeight="true" outlineLevel="0" collapsed="false">
      <c r="B19" s="26" t="s">
        <v>250</v>
      </c>
      <c r="C19" s="86" t="n">
        <v>3.6</v>
      </c>
      <c r="D19" s="28" t="s">
        <v>241</v>
      </c>
      <c r="E19" s="33" t="s">
        <v>34</v>
      </c>
      <c r="F19" s="30" t="s">
        <v>251</v>
      </c>
    </row>
    <row r="20" customFormat="false" ht="15" hidden="false" customHeight="true" outlineLevel="0" collapsed="false">
      <c r="B20" s="26" t="s">
        <v>252</v>
      </c>
      <c r="C20" s="47" t="n">
        <v>0.85</v>
      </c>
      <c r="D20" s="28" t="s">
        <v>99</v>
      </c>
      <c r="E20" s="36" t="s">
        <v>110</v>
      </c>
      <c r="F20" s="30" t="s">
        <v>253</v>
      </c>
    </row>
    <row r="21" customFormat="false" ht="15" hidden="false" customHeight="true" outlineLevel="0" collapsed="false">
      <c r="B21" s="26" t="s">
        <v>254</v>
      </c>
      <c r="C21" s="40" t="n">
        <v>0.8</v>
      </c>
      <c r="D21" s="28" t="s">
        <v>99</v>
      </c>
      <c r="E21" s="29" t="s">
        <v>42</v>
      </c>
      <c r="F21" s="30" t="s">
        <v>255</v>
      </c>
    </row>
    <row r="22" customFormat="false" ht="15" hidden="false" customHeight="true" outlineLevel="0" collapsed="false">
      <c r="B22" s="26" t="s">
        <v>256</v>
      </c>
      <c r="C22" s="40" t="n">
        <v>0.97</v>
      </c>
      <c r="D22" s="28" t="s">
        <v>99</v>
      </c>
      <c r="E22" s="29" t="s">
        <v>42</v>
      </c>
      <c r="F22" s="30" t="s">
        <v>257</v>
      </c>
    </row>
    <row r="23" customFormat="false" ht="15" hidden="false" customHeight="true" outlineLevel="0" collapsed="false">
      <c r="B23" s="26" t="s">
        <v>258</v>
      </c>
      <c r="C23" s="40" t="n">
        <v>0.06</v>
      </c>
      <c r="D23" s="28" t="s">
        <v>83</v>
      </c>
      <c r="E23" s="29" t="s">
        <v>42</v>
      </c>
      <c r="F23" s="30" t="s">
        <v>259</v>
      </c>
    </row>
    <row r="26" customFormat="false" ht="15" hidden="false" customHeight="true" outlineLevel="0" collapsed="false">
      <c r="B26" s="48" t="s">
        <v>260</v>
      </c>
    </row>
  </sheetData>
  <mergeCells count="3">
    <mergeCell ref="B5:F5"/>
    <mergeCell ref="B12:F12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</cols>
  <sheetData>
    <row r="2" customFormat="false" ht="18" hidden="false" customHeight="true" outlineLevel="0" collapsed="false">
      <c r="B2" s="22" t="s">
        <v>261</v>
      </c>
    </row>
    <row r="4" customFormat="false" ht="15" hidden="false" customHeight="true" outlineLevel="0" collapsed="false">
      <c r="B4" s="53" t="s">
        <v>262</v>
      </c>
      <c r="C4" s="67" t="n">
        <v>1</v>
      </c>
      <c r="D4" s="67" t="n">
        <v>2</v>
      </c>
      <c r="E4" s="67" t="n">
        <v>3</v>
      </c>
      <c r="F4" s="67" t="n">
        <v>4</v>
      </c>
      <c r="G4" s="67" t="n">
        <v>5</v>
      </c>
      <c r="H4" s="67" t="n">
        <v>6</v>
      </c>
      <c r="I4" s="67" t="n">
        <v>7</v>
      </c>
    </row>
    <row r="5" customFormat="false" ht="15" hidden="false" customHeight="true" outlineLevel="0" collapsed="false">
      <c r="B5" s="26" t="s">
        <v>263</v>
      </c>
      <c r="C5" s="50" t="n">
        <f aca="false">'A2 Inputs'!$C$7</f>
        <v>2000000</v>
      </c>
      <c r="D5" s="50" t="n">
        <f aca="false">C5*(1+'A2 Inputs'!$C$8)</f>
        <v>2500000</v>
      </c>
      <c r="E5" s="50" t="n">
        <f aca="false">D5*(1+'A2 Inputs'!$C$8)</f>
        <v>3125000</v>
      </c>
      <c r="F5" s="50" t="n">
        <f aca="false">E5*(1+'A2 Inputs'!$C$8)</f>
        <v>3906250</v>
      </c>
      <c r="G5" s="50" t="n">
        <f aca="false">F5*(1+'A2 Inputs'!$C$8)</f>
        <v>4882812.5</v>
      </c>
      <c r="H5" s="50" t="n">
        <f aca="false">G5*(1+'A2 Inputs'!$C$8)</f>
        <v>6103515.625</v>
      </c>
      <c r="I5" s="50" t="n">
        <f aca="false">H5*(1+'A2 Inputs'!$C$8)</f>
        <v>7629394.53125</v>
      </c>
    </row>
    <row r="6" customFormat="false" ht="15" hidden="false" customHeight="true" outlineLevel="0" collapsed="false">
      <c r="B6" s="26" t="s">
        <v>264</v>
      </c>
      <c r="C6" s="50" t="n">
        <f aca="false">C5</f>
        <v>2000000</v>
      </c>
      <c r="D6" s="50" t="n">
        <f aca="false">C6+D5</f>
        <v>4500000</v>
      </c>
      <c r="E6" s="50" t="n">
        <f aca="false">D6+E5</f>
        <v>7625000</v>
      </c>
      <c r="F6" s="50" t="n">
        <f aca="false">E6+F5</f>
        <v>11531250</v>
      </c>
      <c r="G6" s="50" t="n">
        <f aca="false">F6+G5</f>
        <v>16414062.5</v>
      </c>
      <c r="H6" s="50" t="n">
        <f aca="false">G6+H5</f>
        <v>22517578.125</v>
      </c>
      <c r="I6" s="50" t="n">
        <f aca="false">H6+I5</f>
        <v>30146972.65625</v>
      </c>
    </row>
    <row r="8" customFormat="false" ht="15" hidden="false" customHeight="true" outlineLevel="0" collapsed="false">
      <c r="B8" s="53" t="s">
        <v>265</v>
      </c>
      <c r="C8" s="52" t="n">
        <f aca="false">C5*'A2 Inputs'!$C$13*(1+'A2 Inputs'!$C$14)^0</f>
        <v>9000000</v>
      </c>
      <c r="D8" s="52" t="n">
        <f aca="false">D5*'A2 Inputs'!$C$13*(1+'A2 Inputs'!$C$14)^1</f>
        <v>11587500</v>
      </c>
      <c r="E8" s="52" t="n">
        <f aca="false">E5*'A2 Inputs'!$C$13*(1+'A2 Inputs'!$C$14)^2</f>
        <v>14918906.25</v>
      </c>
      <c r="F8" s="52" t="n">
        <f aca="false">F5*'A2 Inputs'!$C$13*(1+'A2 Inputs'!$C$14)^3</f>
        <v>19208091.796875</v>
      </c>
      <c r="G8" s="52" t="n">
        <f aca="false">G5*'A2 Inputs'!$C$13*(1+'A2 Inputs'!$C$14)^4</f>
        <v>24730418.1884766</v>
      </c>
      <c r="H8" s="52" t="n">
        <f aca="false">H5*'A2 Inputs'!$C$13*(1+'A2 Inputs'!$C$14)^5</f>
        <v>31840413.4176636</v>
      </c>
      <c r="I8" s="52" t="n">
        <f aca="false">I5*'A2 Inputs'!$C$13*(1+'A2 Inputs'!$C$14)^6</f>
        <v>40994532.2752419</v>
      </c>
    </row>
    <row r="10" customFormat="false" ht="15" hidden="false" customHeight="true" outlineLevel="0" collapsed="false">
      <c r="B10" s="26" t="s">
        <v>266</v>
      </c>
      <c r="C10" s="37" t="n">
        <f aca="false">'A2 Inputs'!$C$19*((C6/$C$6)^(LOG('A2 Inputs'!$C$20,2)))/('A2 Inputs'!$C$21+('A2 Inputs'!$C$22-'A2 Inputs'!$C$21)*MIN(1,0/3))</f>
        <v>4.5</v>
      </c>
      <c r="D10" s="37" t="n">
        <f aca="false">'A2 Inputs'!$C$19*((D6/$C$6)^(LOG('A2 Inputs'!$C$20,2)))/('A2 Inputs'!$C$21+('A2 Inputs'!$C$22-'A2 Inputs'!$C$21)*MIN(1,1/3))</f>
        <v>3.47469003471779</v>
      </c>
      <c r="E10" s="37" t="n">
        <f aca="false">'A2 Inputs'!$C$19*((E6/$C$6)^(LOG('A2 Inputs'!$C$20,2)))/('A2 Inputs'!$C$21+('A2 Inputs'!$C$22-'A2 Inputs'!$C$21)*MIN(1,2/3))</f>
        <v>2.88004767689451</v>
      </c>
      <c r="F10" s="37" t="n">
        <f aca="false">'A2 Inputs'!$C$19*((F6/$C$6)^(LOG('A2 Inputs'!$C$20,2)))/('A2 Inputs'!$C$21+('A2 Inputs'!$C$22-'A2 Inputs'!$C$21)*MIN(1,3/3))</f>
        <v>2.46115363070866</v>
      </c>
      <c r="G10" s="37" t="n">
        <f aca="false">'A2 Inputs'!$C$19*((G6/$C$6)^(LOG('A2 Inputs'!$C$20,2)))/('A2 Inputs'!$C$21+('A2 Inputs'!$C$22-'A2 Inputs'!$C$21)*MIN(1,4/3))</f>
        <v>2.26561386461288</v>
      </c>
      <c r="H10" s="37" t="n">
        <f aca="false">'A2 Inputs'!$C$19*((H6/$C$6)^(LOG('A2 Inputs'!$C$20,2)))/('A2 Inputs'!$C$21+('A2 Inputs'!$C$22-'A2 Inputs'!$C$21)*MIN(1,5/3))</f>
        <v>2.10374212101107</v>
      </c>
      <c r="I10" s="37" t="n">
        <f aca="false">'A2 Inputs'!$C$19*((I6/$C$6)^(LOG('A2 Inputs'!$C$20,2)))/('A2 Inputs'!$C$21+('A2 Inputs'!$C$22-'A2 Inputs'!$C$21)*MIN(1,6/3))</f>
        <v>1.96462917833725</v>
      </c>
    </row>
    <row r="11" customFormat="false" ht="15" hidden="false" customHeight="true" outlineLevel="0" collapsed="false">
      <c r="B11" s="26" t="s">
        <v>267</v>
      </c>
      <c r="C11" s="52" t="n">
        <f aca="false">C5*C10</f>
        <v>9000000</v>
      </c>
      <c r="D11" s="52" t="n">
        <f aca="false">D5*D10</f>
        <v>8686725.08679448</v>
      </c>
      <c r="E11" s="52" t="n">
        <f aca="false">E5*E10</f>
        <v>9000148.99029534</v>
      </c>
      <c r="F11" s="52" t="n">
        <f aca="false">F5*F10</f>
        <v>9613881.36995568</v>
      </c>
      <c r="G11" s="52" t="n">
        <f aca="false">G5*G10</f>
        <v>11062567.6983051</v>
      </c>
      <c r="H11" s="52" t="n">
        <f aca="false">H5*H10</f>
        <v>12840222.9065617</v>
      </c>
      <c r="I11" s="52" t="n">
        <f aca="false">I5*I10</f>
        <v>14988931.1091404</v>
      </c>
    </row>
    <row r="12" customFormat="false" ht="15" hidden="false" customHeight="true" outlineLevel="0" collapsed="false">
      <c r="B12" s="26" t="s">
        <v>268</v>
      </c>
      <c r="C12" s="52" t="n">
        <f aca="false">'A2 Inputs'!$C$17*'A2 Inputs'!$C$23</f>
        <v>2100000</v>
      </c>
      <c r="D12" s="52" t="n">
        <f aca="false">'A2 Inputs'!$C$17*'A2 Inputs'!$C$23</f>
        <v>2100000</v>
      </c>
      <c r="E12" s="52" t="n">
        <f aca="false">'A2 Inputs'!$C$17*'A2 Inputs'!$C$23</f>
        <v>2100000</v>
      </c>
      <c r="F12" s="52" t="n">
        <f aca="false">'A2 Inputs'!$C$17*'A2 Inputs'!$C$23</f>
        <v>2100000</v>
      </c>
      <c r="G12" s="52" t="n">
        <f aca="false">'A2 Inputs'!$C$17*'A2 Inputs'!$C$23</f>
        <v>2100000</v>
      </c>
      <c r="H12" s="52" t="n">
        <f aca="false">'A2 Inputs'!$C$17*'A2 Inputs'!$C$23</f>
        <v>2100000</v>
      </c>
      <c r="I12" s="52" t="n">
        <f aca="false">'A2 Inputs'!$C$17*'A2 Inputs'!$C$23</f>
        <v>2100000</v>
      </c>
    </row>
    <row r="13" customFormat="false" ht="15" hidden="false" customHeight="true" outlineLevel="0" collapsed="false">
      <c r="B13" s="26" t="s">
        <v>269</v>
      </c>
      <c r="C13" s="52" t="n">
        <f aca="false">'A2 Inputs'!$C$17</f>
        <v>35000000</v>
      </c>
      <c r="D13" s="52" t="n">
        <f aca="false">0</f>
        <v>0</v>
      </c>
      <c r="E13" s="52" t="n">
        <f aca="false">0</f>
        <v>0</v>
      </c>
      <c r="F13" s="52" t="n">
        <f aca="false">0</f>
        <v>0</v>
      </c>
      <c r="G13" s="52" t="n">
        <f aca="false">0</f>
        <v>0</v>
      </c>
      <c r="H13" s="52" t="n">
        <f aca="false">0</f>
        <v>0</v>
      </c>
      <c r="I13" s="52" t="n">
        <f aca="false">0</f>
        <v>0</v>
      </c>
    </row>
    <row r="14" customFormat="false" ht="15" hidden="false" customHeight="true" outlineLevel="0" collapsed="false">
      <c r="B14" s="53" t="s">
        <v>270</v>
      </c>
      <c r="C14" s="54" t="n">
        <f aca="false">C11+C12+C13</f>
        <v>46100000</v>
      </c>
      <c r="D14" s="54" t="n">
        <f aca="false">D11+D12+D13</f>
        <v>10786725.0867945</v>
      </c>
      <c r="E14" s="54" t="n">
        <f aca="false">E11+E12+E13</f>
        <v>11100148.9902953</v>
      </c>
      <c r="F14" s="54" t="n">
        <f aca="false">F11+F12+F13</f>
        <v>11713881.3699557</v>
      </c>
      <c r="G14" s="54" t="n">
        <f aca="false">G11+G12+G13</f>
        <v>13162567.6983051</v>
      </c>
      <c r="H14" s="54" t="n">
        <f aca="false">H11+H12+H13</f>
        <v>14940222.9065617</v>
      </c>
      <c r="I14" s="54" t="n">
        <f aca="false">I11+I12+I13</f>
        <v>17088931.1091404</v>
      </c>
    </row>
    <row r="16" customFormat="false" ht="15" hidden="false" customHeight="true" outlineLevel="0" collapsed="false">
      <c r="B16" s="53" t="s">
        <v>271</v>
      </c>
      <c r="C16" s="54" t="n">
        <f aca="false">C8-C14</f>
        <v>-37100000</v>
      </c>
      <c r="D16" s="54" t="n">
        <f aca="false">D8-D14</f>
        <v>800774.913205519</v>
      </c>
      <c r="E16" s="54" t="n">
        <f aca="false">E8-E14</f>
        <v>3818757.25970466</v>
      </c>
      <c r="F16" s="54" t="n">
        <f aca="false">F8-F14</f>
        <v>7494210.42691932</v>
      </c>
      <c r="G16" s="54" t="n">
        <f aca="false">G8-G14</f>
        <v>11567850.4901715</v>
      </c>
      <c r="H16" s="54" t="n">
        <f aca="false">H8-H14</f>
        <v>16900190.5111019</v>
      </c>
      <c r="I16" s="54" t="n">
        <f aca="false">I8-I14</f>
        <v>23905601.1661015</v>
      </c>
    </row>
    <row r="17" customFormat="false" ht="15" hidden="false" customHeight="true" outlineLevel="0" collapsed="false">
      <c r="B17" s="26" t="s">
        <v>272</v>
      </c>
      <c r="C17" s="52" t="n">
        <f aca="false">C16/(1+'A2 Inputs'!$C$10)^1</f>
        <v>-33125000</v>
      </c>
      <c r="D17" s="52" t="n">
        <f aca="false">D16/(1+'A2 Inputs'!$C$10)^2</f>
        <v>638372.85810389</v>
      </c>
      <c r="E17" s="52" t="n">
        <f aca="false">E16/(1+'A2 Inputs'!$C$10)^3</f>
        <v>2718115.98865184</v>
      </c>
      <c r="F17" s="52" t="n">
        <f aca="false">F16/(1+'A2 Inputs'!$C$10)^4</f>
        <v>4762706.20967721</v>
      </c>
      <c r="G17" s="52" t="n">
        <f aca="false">G16/(1+'A2 Inputs'!$C$10)^5</f>
        <v>6563909.03106088</v>
      </c>
      <c r="H17" s="52" t="n">
        <f aca="false">H16/(1+'A2 Inputs'!$C$10)^6</f>
        <v>8562162.46674987</v>
      </c>
      <c r="I17" s="52" t="n">
        <f aca="false">I16/(1+'A2 Inputs'!$C$10)^7</f>
        <v>10813679.9296427</v>
      </c>
    </row>
    <row r="18" customFormat="false" ht="15" hidden="false" customHeight="true" outlineLevel="0" collapsed="false">
      <c r="B18" s="53" t="s">
        <v>273</v>
      </c>
      <c r="C18" s="54" t="n">
        <f aca="false">C17</f>
        <v>-33125000</v>
      </c>
      <c r="D18" s="54" t="n">
        <f aca="false">C18+D17</f>
        <v>-32486627.1418961</v>
      </c>
      <c r="E18" s="54" t="n">
        <f aca="false">D18+E17</f>
        <v>-29768511.1532443</v>
      </c>
      <c r="F18" s="54" t="n">
        <f aca="false">E18+F17</f>
        <v>-25005804.9435671</v>
      </c>
      <c r="G18" s="54" t="n">
        <f aca="false">F18+G17</f>
        <v>-18441895.9125062</v>
      </c>
      <c r="H18" s="54" t="n">
        <f aca="false">G18+H17</f>
        <v>-9879733.44575631</v>
      </c>
      <c r="I18" s="54" t="n">
        <f aca="false">H18+I17</f>
        <v>933946.483886423</v>
      </c>
    </row>
    <row r="21" customFormat="false" ht="15" hidden="false" customHeight="true" outlineLevel="0" collapsed="false">
      <c r="B21" s="43" t="s">
        <v>274</v>
      </c>
      <c r="C21" s="88"/>
      <c r="D21" s="88"/>
    </row>
    <row r="22" customFormat="false" ht="15" hidden="false" customHeight="true" outlineLevel="0" collapsed="false">
      <c r="B22" s="53" t="s">
        <v>275</v>
      </c>
      <c r="C22" s="54" t="n">
        <f aca="false">I18</f>
        <v>933946.483886423</v>
      </c>
    </row>
    <row r="23" customFormat="false" ht="15" hidden="false" customHeight="true" outlineLevel="0" collapsed="false">
      <c r="B23" s="26" t="s">
        <v>276</v>
      </c>
      <c r="C23" s="37" t="n">
        <f aca="false">I10</f>
        <v>1.96462917833725</v>
      </c>
    </row>
    <row r="24" customFormat="false" ht="15" hidden="false" customHeight="true" outlineLevel="0" collapsed="false">
      <c r="B24" s="26" t="s">
        <v>277</v>
      </c>
      <c r="C24" s="37" t="n">
        <f aca="false">I8/I5</f>
        <v>5.3732353343805</v>
      </c>
    </row>
    <row r="25" customFormat="false" ht="15" hidden="false" customHeight="true" outlineLevel="0" collapsed="false">
      <c r="B25" s="26" t="s">
        <v>278</v>
      </c>
      <c r="C25" s="37" t="n">
        <f aca="false">C24-C23</f>
        <v>3.40860615604326</v>
      </c>
    </row>
    <row r="28" customFormat="false" ht="15" hidden="false" customHeight="true" outlineLevel="0" collapsed="false">
      <c r="B28" s="48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5.66"/>
    <col collapsed="false" customWidth="true" hidden="false" outlineLevel="0" max="5" min="5" style="0" width="12.5"/>
    <col collapsed="false" customWidth="true" hidden="false" outlineLevel="0" max="6" min="6" style="0" width="15.33"/>
    <col collapsed="false" customWidth="true" hidden="false" outlineLevel="0" max="7" min="7" style="0" width="14.67"/>
  </cols>
  <sheetData>
    <row r="2" customFormat="false" ht="18" hidden="false" customHeight="true" outlineLevel="0" collapsed="false">
      <c r="B2" s="22" t="s">
        <v>279</v>
      </c>
    </row>
    <row r="3" customFormat="false" ht="15" hidden="false" customHeight="true" outlineLevel="0" collapsed="false">
      <c r="B3" s="23" t="s">
        <v>280</v>
      </c>
    </row>
    <row r="4" customFormat="false" ht="15" hidden="false" customHeight="true" outlineLevel="0" collapsed="false">
      <c r="B4" s="23" t="s">
        <v>281</v>
      </c>
    </row>
    <row r="6" customFormat="false" ht="15" hidden="false" customHeight="true" outlineLevel="0" collapsed="false">
      <c r="B6" s="53" t="s">
        <v>282</v>
      </c>
    </row>
    <row r="7" customFormat="false" ht="15" hidden="false" customHeight="true" outlineLevel="0" collapsed="false">
      <c r="B7" s="89" t="s">
        <v>283</v>
      </c>
      <c r="C7" s="90" t="n">
        <v>1000000</v>
      </c>
      <c r="D7" s="90" t="n">
        <v>2000000</v>
      </c>
      <c r="E7" s="90" t="n">
        <v>3500000</v>
      </c>
      <c r="F7" s="90" t="n">
        <v>5500000</v>
      </c>
      <c r="G7" s="90" t="n">
        <v>8000000</v>
      </c>
    </row>
    <row r="8" customFormat="false" ht="15" hidden="false" customHeight="true" outlineLevel="0" collapsed="false">
      <c r="B8" s="91" t="n">
        <v>0.9</v>
      </c>
      <c r="C8" s="92" t="n">
        <f aca="false">SUM(C24:I24)</f>
        <v>-23201617.8673788</v>
      </c>
      <c r="D8" s="92" t="n">
        <f aca="false">SUM(C33:I33)</f>
        <v>-5569347.00315317</v>
      </c>
      <c r="E8" s="92" t="n">
        <f aca="false">SUM(C42:I42)</f>
        <v>20879059.2931852</v>
      </c>
      <c r="F8" s="92" t="n">
        <f aca="false">SUM(C51:I51)</f>
        <v>56143601.0216364</v>
      </c>
      <c r="G8" s="92" t="n">
        <f aca="false">SUM(C60:I60)</f>
        <v>100224278.1822</v>
      </c>
    </row>
    <row r="9" customFormat="false" ht="15" hidden="false" customHeight="true" outlineLevel="0" collapsed="false">
      <c r="B9" s="91" t="n">
        <v>0.88</v>
      </c>
      <c r="C9" s="92" t="n">
        <f aca="false">SUM(C69:I69)</f>
        <v>-21855643.8465123</v>
      </c>
      <c r="D9" s="92" t="n">
        <f aca="false">SUM(C78:I78)</f>
        <v>-2877398.96142017</v>
      </c>
      <c r="E9" s="92" t="n">
        <f aca="false">SUM(C87:I87)</f>
        <v>25589968.366218</v>
      </c>
      <c r="F9" s="92" t="n">
        <f aca="false">SUM(C96:I96)</f>
        <v>63546458.1364021</v>
      </c>
      <c r="G9" s="92" t="n">
        <f aca="false">SUM(C105:I105)</f>
        <v>110992070.349132</v>
      </c>
    </row>
    <row r="10" customFormat="false" ht="15" hidden="false" customHeight="true" outlineLevel="0" collapsed="false">
      <c r="B10" s="91" t="n">
        <v>0.85</v>
      </c>
      <c r="C10" s="92" t="n">
        <f aca="false">SUM(C114:I114)</f>
        <v>-19949971.123859</v>
      </c>
      <c r="D10" s="92" t="n">
        <f aca="false">SUM(C123:I123)</f>
        <v>933946.483886426</v>
      </c>
      <c r="E10" s="92" t="n">
        <f aca="false">SUM(C132:I132)</f>
        <v>32259822.8955045</v>
      </c>
      <c r="F10" s="92" t="n">
        <f aca="false">SUM(C141:I141)</f>
        <v>74027658.1109953</v>
      </c>
      <c r="G10" s="92" t="n">
        <f aca="false">SUM(C150:I150)</f>
        <v>126237452.130359</v>
      </c>
    </row>
    <row r="11" customFormat="false" ht="15" hidden="false" customHeight="true" outlineLevel="0" collapsed="false">
      <c r="B11" s="91" t="n">
        <v>0.82</v>
      </c>
      <c r="C11" s="92" t="n">
        <f aca="false">SUM(C159:I159)</f>
        <v>-18174657.6798501</v>
      </c>
      <c r="D11" s="92" t="n">
        <f aca="false">SUM(C168:I168)</f>
        <v>4484573.37190417</v>
      </c>
      <c r="E11" s="92" t="n">
        <f aca="false">SUM(C177:I177)</f>
        <v>38473419.9495356</v>
      </c>
      <c r="F11" s="92" t="n">
        <f aca="false">SUM(C186:I186)</f>
        <v>83791882.0530441</v>
      </c>
      <c r="G11" s="92" t="n">
        <f aca="false">SUM(C195:I195)</f>
        <v>140439959.68243</v>
      </c>
    </row>
    <row r="12" customFormat="false" ht="15" hidden="false" customHeight="true" outlineLevel="0" collapsed="false">
      <c r="B12" s="91" t="n">
        <v>0.8</v>
      </c>
      <c r="C12" s="92" t="n">
        <f aca="false">SUM(C204:I204)</f>
        <v>-17060489.5264278</v>
      </c>
      <c r="D12" s="92" t="n">
        <f aca="false">SUM(C213:I213)</f>
        <v>6712909.67874878</v>
      </c>
      <c r="E12" s="92" t="n">
        <f aca="false">SUM(C222:I222)</f>
        <v>42373008.4865136</v>
      </c>
      <c r="F12" s="92" t="n">
        <f aca="false">SUM(C231:I231)</f>
        <v>89919806.8968668</v>
      </c>
      <c r="G12" s="92" t="n">
        <f aca="false">SUM(C240:I240)</f>
        <v>149353304.909808</v>
      </c>
    </row>
    <row r="14" customFormat="false" ht="15" hidden="false" customHeight="true" outlineLevel="0" collapsed="false">
      <c r="B14" s="70" t="s">
        <v>284</v>
      </c>
    </row>
    <row r="15" customFormat="false" ht="15" hidden="false" customHeight="true" outlineLevel="0" collapsed="false">
      <c r="B15" s="93" t="s">
        <v>285</v>
      </c>
    </row>
    <row r="16" customFormat="false" ht="15" hidden="false" customHeight="true" outlineLevel="0" collapsed="false">
      <c r="B16" s="93" t="s">
        <v>286</v>
      </c>
    </row>
    <row r="17" customFormat="false" ht="15" hidden="false" customHeight="true" outlineLevel="0" collapsed="false">
      <c r="B17" s="70" t="s">
        <v>287</v>
      </c>
      <c r="C17" s="30" t="s">
        <v>288</v>
      </c>
      <c r="D17" s="30" t="s">
        <v>289</v>
      </c>
      <c r="E17" s="30" t="s">
        <v>290</v>
      </c>
      <c r="F17" s="30" t="s">
        <v>291</v>
      </c>
      <c r="G17" s="30" t="s">
        <v>292</v>
      </c>
      <c r="H17" s="30" t="s">
        <v>293</v>
      </c>
      <c r="I17" s="30" t="s">
        <v>294</v>
      </c>
    </row>
    <row r="18" customFormat="false" ht="15" hidden="false" customHeight="true" outlineLevel="0" collapsed="false">
      <c r="B18" s="30" t="s">
        <v>295</v>
      </c>
      <c r="C18" s="94" t="n">
        <f aca="false">1000000*(1+'A2 Inputs'!$C$8)^0</f>
        <v>1000000</v>
      </c>
      <c r="D18" s="94" t="n">
        <f aca="false">1000000*(1+'A2 Inputs'!$C$8)^1</f>
        <v>1250000</v>
      </c>
      <c r="E18" s="94" t="n">
        <f aca="false">1000000*(1+'A2 Inputs'!$C$8)^2</f>
        <v>1562500</v>
      </c>
      <c r="F18" s="94" t="n">
        <f aca="false">1000000*(1+'A2 Inputs'!$C$8)^3</f>
        <v>1953125</v>
      </c>
      <c r="G18" s="94" t="n">
        <f aca="false">1000000*(1+'A2 Inputs'!$C$8)^4</f>
        <v>2441406.25</v>
      </c>
      <c r="H18" s="94" t="n">
        <f aca="false">1000000*(1+'A2 Inputs'!$C$8)^5</f>
        <v>3051757.8125</v>
      </c>
      <c r="I18" s="94" t="n">
        <f aca="false">1000000*(1+'A2 Inputs'!$C$8)^6</f>
        <v>3814697.265625</v>
      </c>
    </row>
    <row r="19" customFormat="false" ht="15" hidden="false" customHeight="true" outlineLevel="0" collapsed="false">
      <c r="B19" s="30" t="s">
        <v>296</v>
      </c>
      <c r="C19" s="94" t="n">
        <f aca="false">1000000*((1+'A2 Inputs'!$C$8)^1-1)/'A2 Inputs'!$C$8</f>
        <v>1000000</v>
      </c>
      <c r="D19" s="94" t="n">
        <f aca="false">1000000*((1+'A2 Inputs'!$C$8)^2-1)/'A2 Inputs'!$C$8</f>
        <v>2250000</v>
      </c>
      <c r="E19" s="94" t="n">
        <f aca="false">1000000*((1+'A2 Inputs'!$C$8)^3-1)/'A2 Inputs'!$C$8</f>
        <v>3812500</v>
      </c>
      <c r="F19" s="94" t="n">
        <f aca="false">1000000*((1+'A2 Inputs'!$C$8)^4-1)/'A2 Inputs'!$C$8</f>
        <v>5765625</v>
      </c>
      <c r="G19" s="94" t="n">
        <f aca="false">1000000*((1+'A2 Inputs'!$C$8)^5-1)/'A2 Inputs'!$C$8</f>
        <v>8207031.25</v>
      </c>
      <c r="H19" s="94" t="n">
        <f aca="false">1000000*((1+'A2 Inputs'!$C$8)^6-1)/'A2 Inputs'!$C$8</f>
        <v>11258789.0625</v>
      </c>
      <c r="I19" s="94" t="n">
        <f aca="false">1000000*((1+'A2 Inputs'!$C$8)^7-1)/'A2 Inputs'!$C$8</f>
        <v>15073486.328125</v>
      </c>
    </row>
    <row r="20" customFormat="false" ht="15" hidden="false" customHeight="true" outlineLevel="0" collapsed="false">
      <c r="B20" s="30" t="s">
        <v>297</v>
      </c>
      <c r="C20" s="94" t="n">
        <f aca="false">'A2 Inputs'!$C$21+('A2 Inputs'!$C$22-'A2 Inputs'!$C$21)*MIN(1,(0)/3)</f>
        <v>0.8</v>
      </c>
      <c r="D20" s="94" t="n">
        <f aca="false">'A2 Inputs'!$C$21+('A2 Inputs'!$C$22-'A2 Inputs'!$C$21)*MIN(1,(1)/3)</f>
        <v>0.856666666666667</v>
      </c>
      <c r="E20" s="94" t="n">
        <f aca="false">'A2 Inputs'!$C$21+('A2 Inputs'!$C$22-'A2 Inputs'!$C$21)*MIN(1,(2)/3)</f>
        <v>0.913333333333333</v>
      </c>
      <c r="F20" s="94" t="n">
        <f aca="false">'A2 Inputs'!$C$21+('A2 Inputs'!$C$22-'A2 Inputs'!$C$21)*MIN(1,(3)/3)</f>
        <v>0.97</v>
      </c>
      <c r="G20" s="94" t="n">
        <f aca="false">'A2 Inputs'!$C$21+('A2 Inputs'!$C$22-'A2 Inputs'!$C$21)*MIN(1,(4)/3)</f>
        <v>0.97</v>
      </c>
      <c r="H20" s="94" t="n">
        <f aca="false">'A2 Inputs'!$C$21+('A2 Inputs'!$C$22-'A2 Inputs'!$C$21)*MIN(1,(5)/3)</f>
        <v>0.97</v>
      </c>
      <c r="I20" s="94" t="n">
        <f aca="false">'A2 Inputs'!$C$21+('A2 Inputs'!$C$22-'A2 Inputs'!$C$21)*MIN(1,(6)/3)</f>
        <v>0.97</v>
      </c>
    </row>
    <row r="21" customFormat="false" ht="15" hidden="false" customHeight="true" outlineLevel="0" collapsed="false">
      <c r="B21" s="30" t="s">
        <v>298</v>
      </c>
      <c r="C21" s="94" t="n">
        <f aca="false">'A2 Inputs'!$C$19*((C19/1000000)^(LOG(0.9,2)))/C20</f>
        <v>4.5</v>
      </c>
      <c r="D21" s="94" t="n">
        <f aca="false">'A2 Inputs'!$C$19*((D19/1000000)^(LOG(0.9,2)))/D20</f>
        <v>3.71499129063991</v>
      </c>
      <c r="E21" s="94" t="n">
        <f aca="false">'A2 Inputs'!$C$19*((E19/1000000)^(LOG(0.9,2)))/E20</f>
        <v>3.21608484218365</v>
      </c>
      <c r="F21" s="94" t="n">
        <f aca="false">'A2 Inputs'!$C$19*((F19/1000000)^(LOG(0.9,2)))/F20</f>
        <v>2.84367369910996</v>
      </c>
      <c r="G21" s="94" t="n">
        <f aca="false">'A2 Inputs'!$C$19*((G19/1000000)^(LOG(0.9,2)))/G20</f>
        <v>2.69507995090359</v>
      </c>
      <c r="H21" s="94" t="n">
        <f aca="false">'A2 Inputs'!$C$19*((H19/1000000)^(LOG(0.9,2)))/H20</f>
        <v>2.5686254309767</v>
      </c>
      <c r="I21" s="94" t="n">
        <f aca="false">'A2 Inputs'!$C$19*((I19/1000000)^(LOG(0.9,2)))/I20</f>
        <v>2.45718942530573</v>
      </c>
    </row>
    <row r="22" customFormat="false" ht="15" hidden="false" customHeight="true" outlineLevel="0" collapsed="false">
      <c r="B22" s="30" t="s">
        <v>299</v>
      </c>
      <c r="C22" s="94" t="n">
        <f aca="false">C18*'A2 Inputs'!$C$13*(1+'A2 Inputs'!$C$14)^0</f>
        <v>4500000</v>
      </c>
      <c r="D22" s="94" t="n">
        <f aca="false">D18*'A2 Inputs'!$C$13*(1+'A2 Inputs'!$C$14)^1</f>
        <v>5793750</v>
      </c>
      <c r="E22" s="94" t="n">
        <f aca="false">E18*'A2 Inputs'!$C$13*(1+'A2 Inputs'!$C$14)^2</f>
        <v>7459453.125</v>
      </c>
      <c r="F22" s="94" t="n">
        <f aca="false">F18*'A2 Inputs'!$C$13*(1+'A2 Inputs'!$C$14)^3</f>
        <v>9604045.8984375</v>
      </c>
      <c r="G22" s="94" t="n">
        <f aca="false">G18*'A2 Inputs'!$C$13*(1+'A2 Inputs'!$C$14)^4</f>
        <v>12365209.0942383</v>
      </c>
      <c r="H22" s="94" t="n">
        <f aca="false">H18*'A2 Inputs'!$C$13*(1+'A2 Inputs'!$C$14)^5</f>
        <v>15920206.7088318</v>
      </c>
      <c r="I22" s="94" t="n">
        <f aca="false">I18*'A2 Inputs'!$C$13*(1+'A2 Inputs'!$C$14)^6</f>
        <v>20497266.1376209</v>
      </c>
    </row>
    <row r="23" customFormat="false" ht="15" hidden="false" customHeight="true" outlineLevel="0" collapsed="false">
      <c r="B23" s="30" t="s">
        <v>300</v>
      </c>
      <c r="C23" s="94" t="n">
        <f aca="false">C18*C21+'A2 Inputs'!$C$17*'A2 Inputs'!$C$23+'A2 Inputs'!$C$17</f>
        <v>41600000</v>
      </c>
      <c r="D23" s="94" t="n">
        <f aca="false">D18*D21+'A2 Inputs'!$C$17*'A2 Inputs'!$C$23</f>
        <v>6743739.11329989</v>
      </c>
      <c r="E23" s="94" t="n">
        <f aca="false">E18*E21+'A2 Inputs'!$C$17*'A2 Inputs'!$C$23</f>
        <v>7125132.56591195</v>
      </c>
      <c r="F23" s="94" t="n">
        <f aca="false">F18*F21+'A2 Inputs'!$C$17*'A2 Inputs'!$C$23</f>
        <v>7654050.19357413</v>
      </c>
      <c r="G23" s="94" t="n">
        <f aca="false">G18*G21+'A2 Inputs'!$C$17*'A2 Inputs'!$C$23</f>
        <v>8679785.03638572</v>
      </c>
      <c r="H23" s="94" t="n">
        <f aca="false">H18*H21+'A2 Inputs'!$C$17*'A2 Inputs'!$C$23</f>
        <v>9938822.72636931</v>
      </c>
      <c r="I23" s="94" t="n">
        <f aca="false">I18*I21+'A2 Inputs'!$C$17*'A2 Inputs'!$C$23</f>
        <v>11473433.7818364</v>
      </c>
    </row>
    <row r="24" customFormat="false" ht="15" hidden="false" customHeight="true" outlineLevel="0" collapsed="false">
      <c r="B24" s="30" t="s">
        <v>301</v>
      </c>
      <c r="C24" s="94" t="n">
        <f aca="false">(C22-C23)/(1+'A2 Inputs'!$C$10)^1</f>
        <v>-33125000</v>
      </c>
      <c r="D24" s="94" t="n">
        <f aca="false">(D22-D23)/(1+'A2 Inputs'!$C$10)^2</f>
        <v>-757325.504862796</v>
      </c>
      <c r="E24" s="94" t="n">
        <f aca="false">(E22-E23)/(1+'A2 Inputs'!$C$10)^3</f>
        <v>237962.770396808</v>
      </c>
      <c r="F24" s="94" t="n">
        <f aca="false">(F22-F23)/(1+'A2 Inputs'!$C$10)^4</f>
        <v>1239257.52325244</v>
      </c>
      <c r="G24" s="94" t="n">
        <f aca="false">(G22-G23)/(1+'A2 Inputs'!$C$10)^5</f>
        <v>2091208.58513696</v>
      </c>
      <c r="H24" s="94" t="n">
        <f aca="false">(H22-H23)/(1+'A2 Inputs'!$C$10)^6</f>
        <v>3030355.27322703</v>
      </c>
      <c r="I24" s="94" t="n">
        <f aca="false">(I22-I23)/(1+'A2 Inputs'!$C$10)^7</f>
        <v>4081923.48547079</v>
      </c>
    </row>
    <row r="26" customFormat="false" ht="15" hidden="false" customHeight="true" outlineLevel="0" collapsed="false">
      <c r="B26" s="70" t="s">
        <v>302</v>
      </c>
      <c r="C26" s="30" t="s">
        <v>288</v>
      </c>
      <c r="D26" s="30" t="s">
        <v>289</v>
      </c>
      <c r="E26" s="30" t="s">
        <v>290</v>
      </c>
      <c r="F26" s="30" t="s">
        <v>291</v>
      </c>
      <c r="G26" s="30" t="s">
        <v>292</v>
      </c>
      <c r="H26" s="30" t="s">
        <v>293</v>
      </c>
      <c r="I26" s="30" t="s">
        <v>294</v>
      </c>
    </row>
    <row r="27" customFormat="false" ht="15" hidden="false" customHeight="true" outlineLevel="0" collapsed="false">
      <c r="B27" s="30" t="s">
        <v>295</v>
      </c>
      <c r="C27" s="94" t="n">
        <f aca="false">2000000*(1+'A2 Inputs'!$C$8)^0</f>
        <v>2000000</v>
      </c>
      <c r="D27" s="94" t="n">
        <f aca="false">2000000*(1+'A2 Inputs'!$C$8)^1</f>
        <v>2500000</v>
      </c>
      <c r="E27" s="94" t="n">
        <f aca="false">2000000*(1+'A2 Inputs'!$C$8)^2</f>
        <v>3125000</v>
      </c>
      <c r="F27" s="94" t="n">
        <f aca="false">2000000*(1+'A2 Inputs'!$C$8)^3</f>
        <v>3906250</v>
      </c>
      <c r="G27" s="94" t="n">
        <f aca="false">2000000*(1+'A2 Inputs'!$C$8)^4</f>
        <v>4882812.5</v>
      </c>
      <c r="H27" s="94" t="n">
        <f aca="false">2000000*(1+'A2 Inputs'!$C$8)^5</f>
        <v>6103515.625</v>
      </c>
      <c r="I27" s="94" t="n">
        <f aca="false">2000000*(1+'A2 Inputs'!$C$8)^6</f>
        <v>7629394.53125</v>
      </c>
    </row>
    <row r="28" customFormat="false" ht="15" hidden="false" customHeight="true" outlineLevel="0" collapsed="false">
      <c r="B28" s="30" t="s">
        <v>296</v>
      </c>
      <c r="C28" s="94" t="n">
        <f aca="false">2000000*((1+'A2 Inputs'!$C$8)^1-1)/'A2 Inputs'!$C$8</f>
        <v>2000000</v>
      </c>
      <c r="D28" s="94" t="n">
        <f aca="false">2000000*((1+'A2 Inputs'!$C$8)^2-1)/'A2 Inputs'!$C$8</f>
        <v>4500000</v>
      </c>
      <c r="E28" s="94" t="n">
        <f aca="false">2000000*((1+'A2 Inputs'!$C$8)^3-1)/'A2 Inputs'!$C$8</f>
        <v>7625000</v>
      </c>
      <c r="F28" s="94" t="n">
        <f aca="false">2000000*((1+'A2 Inputs'!$C$8)^4-1)/'A2 Inputs'!$C$8</f>
        <v>11531250</v>
      </c>
      <c r="G28" s="94" t="n">
        <f aca="false">2000000*((1+'A2 Inputs'!$C$8)^5-1)/'A2 Inputs'!$C$8</f>
        <v>16414062.5</v>
      </c>
      <c r="H28" s="94" t="n">
        <f aca="false">2000000*((1+'A2 Inputs'!$C$8)^6-1)/'A2 Inputs'!$C$8</f>
        <v>22517578.125</v>
      </c>
      <c r="I28" s="94" t="n">
        <f aca="false">2000000*((1+'A2 Inputs'!$C$8)^7-1)/'A2 Inputs'!$C$8</f>
        <v>30146972.65625</v>
      </c>
    </row>
    <row r="29" customFormat="false" ht="15" hidden="false" customHeight="true" outlineLevel="0" collapsed="false">
      <c r="B29" s="30" t="s">
        <v>297</v>
      </c>
      <c r="C29" s="94" t="n">
        <f aca="false">'A2 Inputs'!$C$21+('A2 Inputs'!$C$22-'A2 Inputs'!$C$21)*MIN(1,(0)/3)</f>
        <v>0.8</v>
      </c>
      <c r="D29" s="94" t="n">
        <f aca="false">'A2 Inputs'!$C$21+('A2 Inputs'!$C$22-'A2 Inputs'!$C$21)*MIN(1,(1)/3)</f>
        <v>0.856666666666667</v>
      </c>
      <c r="E29" s="94" t="n">
        <f aca="false">'A2 Inputs'!$C$21+('A2 Inputs'!$C$22-'A2 Inputs'!$C$21)*MIN(1,(2)/3)</f>
        <v>0.913333333333333</v>
      </c>
      <c r="F29" s="94" t="n">
        <f aca="false">'A2 Inputs'!$C$21+('A2 Inputs'!$C$22-'A2 Inputs'!$C$21)*MIN(1,(3)/3)</f>
        <v>0.97</v>
      </c>
      <c r="G29" s="94" t="n">
        <f aca="false">'A2 Inputs'!$C$21+('A2 Inputs'!$C$22-'A2 Inputs'!$C$21)*MIN(1,(4)/3)</f>
        <v>0.97</v>
      </c>
      <c r="H29" s="94" t="n">
        <f aca="false">'A2 Inputs'!$C$21+('A2 Inputs'!$C$22-'A2 Inputs'!$C$21)*MIN(1,(5)/3)</f>
        <v>0.97</v>
      </c>
      <c r="I29" s="94" t="n">
        <f aca="false">'A2 Inputs'!$C$21+('A2 Inputs'!$C$22-'A2 Inputs'!$C$21)*MIN(1,(6)/3)</f>
        <v>0.97</v>
      </c>
    </row>
    <row r="30" customFormat="false" ht="15" hidden="false" customHeight="true" outlineLevel="0" collapsed="false">
      <c r="B30" s="30" t="s">
        <v>298</v>
      </c>
      <c r="C30" s="94" t="n">
        <f aca="false">'A2 Inputs'!$C$19*((C28/2000000)^(LOG(0.9,2)))/C29</f>
        <v>4.5</v>
      </c>
      <c r="D30" s="94" t="n">
        <f aca="false">'A2 Inputs'!$C$19*((D28/2000000)^(LOG(0.9,2)))/D29</f>
        <v>3.71499129063991</v>
      </c>
      <c r="E30" s="94" t="n">
        <f aca="false">'A2 Inputs'!$C$19*((E28/2000000)^(LOG(0.9,2)))/E29</f>
        <v>3.21608484218365</v>
      </c>
      <c r="F30" s="94" t="n">
        <f aca="false">'A2 Inputs'!$C$19*((F28/2000000)^(LOG(0.9,2)))/F29</f>
        <v>2.84367369910996</v>
      </c>
      <c r="G30" s="94" t="n">
        <f aca="false">'A2 Inputs'!$C$19*((G28/2000000)^(LOG(0.9,2)))/G29</f>
        <v>2.69507995090359</v>
      </c>
      <c r="H30" s="94" t="n">
        <f aca="false">'A2 Inputs'!$C$19*((H28/2000000)^(LOG(0.9,2)))/H29</f>
        <v>2.5686254309767</v>
      </c>
      <c r="I30" s="94" t="n">
        <f aca="false">'A2 Inputs'!$C$19*((I28/2000000)^(LOG(0.9,2)))/I29</f>
        <v>2.45718942530573</v>
      </c>
    </row>
    <row r="31" customFormat="false" ht="15" hidden="false" customHeight="true" outlineLevel="0" collapsed="false">
      <c r="B31" s="30" t="s">
        <v>299</v>
      </c>
      <c r="C31" s="94" t="n">
        <f aca="false">C27*'A2 Inputs'!$C$13*(1+'A2 Inputs'!$C$14)^0</f>
        <v>9000000</v>
      </c>
      <c r="D31" s="94" t="n">
        <f aca="false">D27*'A2 Inputs'!$C$13*(1+'A2 Inputs'!$C$14)^1</f>
        <v>11587500</v>
      </c>
      <c r="E31" s="94" t="n">
        <f aca="false">E27*'A2 Inputs'!$C$13*(1+'A2 Inputs'!$C$14)^2</f>
        <v>14918906.25</v>
      </c>
      <c r="F31" s="94" t="n">
        <f aca="false">F27*'A2 Inputs'!$C$13*(1+'A2 Inputs'!$C$14)^3</f>
        <v>19208091.796875</v>
      </c>
      <c r="G31" s="94" t="n">
        <f aca="false">G27*'A2 Inputs'!$C$13*(1+'A2 Inputs'!$C$14)^4</f>
        <v>24730418.1884766</v>
      </c>
      <c r="H31" s="94" t="n">
        <f aca="false">H27*'A2 Inputs'!$C$13*(1+'A2 Inputs'!$C$14)^5</f>
        <v>31840413.4176636</v>
      </c>
      <c r="I31" s="94" t="n">
        <f aca="false">I27*'A2 Inputs'!$C$13*(1+'A2 Inputs'!$C$14)^6</f>
        <v>40994532.2752419</v>
      </c>
    </row>
    <row r="32" customFormat="false" ht="15" hidden="false" customHeight="true" outlineLevel="0" collapsed="false">
      <c r="B32" s="30" t="s">
        <v>300</v>
      </c>
      <c r="C32" s="94" t="n">
        <f aca="false">C27*C30+'A2 Inputs'!$C$17*'A2 Inputs'!$C$23+'A2 Inputs'!$C$17</f>
        <v>46100000</v>
      </c>
      <c r="D32" s="94" t="n">
        <f aca="false">D27*D30+'A2 Inputs'!$C$17*'A2 Inputs'!$C$23</f>
        <v>11387478.2265998</v>
      </c>
      <c r="E32" s="94" t="n">
        <f aca="false">E27*E30+'A2 Inputs'!$C$17*'A2 Inputs'!$C$23</f>
        <v>12150265.1318239</v>
      </c>
      <c r="F32" s="94" t="n">
        <f aca="false">F27*F30+'A2 Inputs'!$C$17*'A2 Inputs'!$C$23</f>
        <v>13208100.3871483</v>
      </c>
      <c r="G32" s="94" t="n">
        <f aca="false">G27*G30+'A2 Inputs'!$C$17*'A2 Inputs'!$C$23</f>
        <v>15259570.0727714</v>
      </c>
      <c r="H32" s="94" t="n">
        <f aca="false">H27*H30+'A2 Inputs'!$C$17*'A2 Inputs'!$C$23</f>
        <v>17777645.4527386</v>
      </c>
      <c r="I32" s="94" t="n">
        <f aca="false">I27*I30+'A2 Inputs'!$C$17*'A2 Inputs'!$C$23</f>
        <v>20846867.5636728</v>
      </c>
    </row>
    <row r="33" customFormat="false" ht="15" hidden="false" customHeight="true" outlineLevel="0" collapsed="false">
      <c r="B33" s="30" t="s">
        <v>301</v>
      </c>
      <c r="C33" s="94" t="n">
        <f aca="false">(C31-C32)/(1+'A2 Inputs'!$C$10)^1</f>
        <v>-33125000</v>
      </c>
      <c r="D33" s="94" t="n">
        <f aca="false">(D31-D32)/(1+'A2 Inputs'!$C$10)^2</f>
        <v>159456.133131551</v>
      </c>
      <c r="E33" s="94" t="n">
        <f aca="false">(E31-E32)/(1+'A2 Inputs'!$C$10)^3</f>
        <v>1970664.06120178</v>
      </c>
      <c r="F33" s="94" t="n">
        <f aca="false">(F31-F32)/(1+'A2 Inputs'!$C$10)^4</f>
        <v>3813103.01115503</v>
      </c>
      <c r="G33" s="94" t="n">
        <f aca="false">(G31-G32)/(1+'A2 Inputs'!$C$10)^5</f>
        <v>5374013.56728298</v>
      </c>
      <c r="H33" s="94" t="n">
        <f aca="false">(H31-H32)/(1+'A2 Inputs'!$C$10)^6</f>
        <v>7124635.90092644</v>
      </c>
      <c r="I33" s="94" t="n">
        <f aca="false">(I31-I32)/(1+'A2 Inputs'!$C$10)^7</f>
        <v>9113780.32314906</v>
      </c>
    </row>
    <row r="35" customFormat="false" ht="15" hidden="false" customHeight="true" outlineLevel="0" collapsed="false">
      <c r="B35" s="70" t="s">
        <v>303</v>
      </c>
      <c r="C35" s="30" t="s">
        <v>288</v>
      </c>
      <c r="D35" s="30" t="s">
        <v>289</v>
      </c>
      <c r="E35" s="30" t="s">
        <v>290</v>
      </c>
      <c r="F35" s="30" t="s">
        <v>291</v>
      </c>
      <c r="G35" s="30" t="s">
        <v>292</v>
      </c>
      <c r="H35" s="30" t="s">
        <v>293</v>
      </c>
      <c r="I35" s="30" t="s">
        <v>294</v>
      </c>
    </row>
    <row r="36" customFormat="false" ht="15" hidden="false" customHeight="true" outlineLevel="0" collapsed="false">
      <c r="B36" s="30" t="s">
        <v>295</v>
      </c>
      <c r="C36" s="94" t="n">
        <f aca="false">3500000*(1+'A2 Inputs'!$C$8)^0</f>
        <v>3500000</v>
      </c>
      <c r="D36" s="94" t="n">
        <f aca="false">3500000*(1+'A2 Inputs'!$C$8)^1</f>
        <v>4375000</v>
      </c>
      <c r="E36" s="94" t="n">
        <f aca="false">3500000*(1+'A2 Inputs'!$C$8)^2</f>
        <v>5468750</v>
      </c>
      <c r="F36" s="94" t="n">
        <f aca="false">3500000*(1+'A2 Inputs'!$C$8)^3</f>
        <v>6835937.5</v>
      </c>
      <c r="G36" s="94" t="n">
        <f aca="false">3500000*(1+'A2 Inputs'!$C$8)^4</f>
        <v>8544921.875</v>
      </c>
      <c r="H36" s="94" t="n">
        <f aca="false">3500000*(1+'A2 Inputs'!$C$8)^5</f>
        <v>10681152.34375</v>
      </c>
      <c r="I36" s="94" t="n">
        <f aca="false">3500000*(1+'A2 Inputs'!$C$8)^6</f>
        <v>13351440.4296875</v>
      </c>
    </row>
    <row r="37" customFormat="false" ht="15" hidden="false" customHeight="true" outlineLevel="0" collapsed="false">
      <c r="B37" s="30" t="s">
        <v>296</v>
      </c>
      <c r="C37" s="94" t="n">
        <f aca="false">3500000*((1+'A2 Inputs'!$C$8)^1-1)/'A2 Inputs'!$C$8</f>
        <v>3500000</v>
      </c>
      <c r="D37" s="94" t="n">
        <f aca="false">3500000*((1+'A2 Inputs'!$C$8)^2-1)/'A2 Inputs'!$C$8</f>
        <v>7875000</v>
      </c>
      <c r="E37" s="94" t="n">
        <f aca="false">3500000*((1+'A2 Inputs'!$C$8)^3-1)/'A2 Inputs'!$C$8</f>
        <v>13343750</v>
      </c>
      <c r="F37" s="94" t="n">
        <f aca="false">3500000*((1+'A2 Inputs'!$C$8)^4-1)/'A2 Inputs'!$C$8</f>
        <v>20179687.5</v>
      </c>
      <c r="G37" s="94" t="n">
        <f aca="false">3500000*((1+'A2 Inputs'!$C$8)^5-1)/'A2 Inputs'!$C$8</f>
        <v>28724609.375</v>
      </c>
      <c r="H37" s="94" t="n">
        <f aca="false">3500000*((1+'A2 Inputs'!$C$8)^6-1)/'A2 Inputs'!$C$8</f>
        <v>39405761.71875</v>
      </c>
      <c r="I37" s="94" t="n">
        <f aca="false">3500000*((1+'A2 Inputs'!$C$8)^7-1)/'A2 Inputs'!$C$8</f>
        <v>52757202.1484375</v>
      </c>
    </row>
    <row r="38" customFormat="false" ht="15" hidden="false" customHeight="true" outlineLevel="0" collapsed="false">
      <c r="B38" s="30" t="s">
        <v>297</v>
      </c>
      <c r="C38" s="94" t="n">
        <f aca="false">'A2 Inputs'!$C$21+('A2 Inputs'!$C$22-'A2 Inputs'!$C$21)*MIN(1,(0)/3)</f>
        <v>0.8</v>
      </c>
      <c r="D38" s="94" t="n">
        <f aca="false">'A2 Inputs'!$C$21+('A2 Inputs'!$C$22-'A2 Inputs'!$C$21)*MIN(1,(1)/3)</f>
        <v>0.856666666666667</v>
      </c>
      <c r="E38" s="94" t="n">
        <f aca="false">'A2 Inputs'!$C$21+('A2 Inputs'!$C$22-'A2 Inputs'!$C$21)*MIN(1,(2)/3)</f>
        <v>0.913333333333333</v>
      </c>
      <c r="F38" s="94" t="n">
        <f aca="false">'A2 Inputs'!$C$21+('A2 Inputs'!$C$22-'A2 Inputs'!$C$21)*MIN(1,(3)/3)</f>
        <v>0.97</v>
      </c>
      <c r="G38" s="94" t="n">
        <f aca="false">'A2 Inputs'!$C$21+('A2 Inputs'!$C$22-'A2 Inputs'!$C$21)*MIN(1,(4)/3)</f>
        <v>0.97</v>
      </c>
      <c r="H38" s="94" t="n">
        <f aca="false">'A2 Inputs'!$C$21+('A2 Inputs'!$C$22-'A2 Inputs'!$C$21)*MIN(1,(5)/3)</f>
        <v>0.97</v>
      </c>
      <c r="I38" s="94" t="n">
        <f aca="false">'A2 Inputs'!$C$21+('A2 Inputs'!$C$22-'A2 Inputs'!$C$21)*MIN(1,(6)/3)</f>
        <v>0.97</v>
      </c>
    </row>
    <row r="39" customFormat="false" ht="15" hidden="false" customHeight="true" outlineLevel="0" collapsed="false">
      <c r="B39" s="30" t="s">
        <v>298</v>
      </c>
      <c r="C39" s="94" t="n">
        <f aca="false">'A2 Inputs'!$C$19*((C37/3500000)^(LOG(0.9,2)))/C38</f>
        <v>4.5</v>
      </c>
      <c r="D39" s="94" t="n">
        <f aca="false">'A2 Inputs'!$C$19*((D37/3500000)^(LOG(0.9,2)))/D38</f>
        <v>3.71499129063991</v>
      </c>
      <c r="E39" s="94" t="n">
        <f aca="false">'A2 Inputs'!$C$19*((E37/3500000)^(LOG(0.9,2)))/E38</f>
        <v>3.21608484218365</v>
      </c>
      <c r="F39" s="94" t="n">
        <f aca="false">'A2 Inputs'!$C$19*((F37/3500000)^(LOG(0.9,2)))/F38</f>
        <v>2.84367369910996</v>
      </c>
      <c r="G39" s="94" t="n">
        <f aca="false">'A2 Inputs'!$C$19*((G37/3500000)^(LOG(0.9,2)))/G38</f>
        <v>2.69507995090359</v>
      </c>
      <c r="H39" s="94" t="n">
        <f aca="false">'A2 Inputs'!$C$19*((H37/3500000)^(LOG(0.9,2)))/H38</f>
        <v>2.5686254309767</v>
      </c>
      <c r="I39" s="94" t="n">
        <f aca="false">'A2 Inputs'!$C$19*((I37/3500000)^(LOG(0.9,2)))/I38</f>
        <v>2.45718942530573</v>
      </c>
    </row>
    <row r="40" customFormat="false" ht="15" hidden="false" customHeight="true" outlineLevel="0" collapsed="false">
      <c r="B40" s="30" t="s">
        <v>299</v>
      </c>
      <c r="C40" s="94" t="n">
        <f aca="false">C36*'A2 Inputs'!$C$13*(1+'A2 Inputs'!$C$14)^0</f>
        <v>15750000</v>
      </c>
      <c r="D40" s="94" t="n">
        <f aca="false">D36*'A2 Inputs'!$C$13*(1+'A2 Inputs'!$C$14)^1</f>
        <v>20278125</v>
      </c>
      <c r="E40" s="94" t="n">
        <f aca="false">E36*'A2 Inputs'!$C$13*(1+'A2 Inputs'!$C$14)^2</f>
        <v>26108085.9375</v>
      </c>
      <c r="F40" s="94" t="n">
        <f aca="false">F36*'A2 Inputs'!$C$13*(1+'A2 Inputs'!$C$14)^3</f>
        <v>33614160.6445313</v>
      </c>
      <c r="G40" s="94" t="n">
        <f aca="false">G36*'A2 Inputs'!$C$13*(1+'A2 Inputs'!$C$14)^4</f>
        <v>43278231.829834</v>
      </c>
      <c r="H40" s="94" t="n">
        <f aca="false">H36*'A2 Inputs'!$C$13*(1+'A2 Inputs'!$C$14)^5</f>
        <v>55720723.4809113</v>
      </c>
      <c r="I40" s="94" t="n">
        <f aca="false">I36*'A2 Inputs'!$C$13*(1+'A2 Inputs'!$C$14)^6</f>
        <v>71740431.4816733</v>
      </c>
    </row>
    <row r="41" customFormat="false" ht="15" hidden="false" customHeight="true" outlineLevel="0" collapsed="false">
      <c r="B41" s="30" t="s">
        <v>300</v>
      </c>
      <c r="C41" s="94" t="n">
        <f aca="false">C36*C39+'A2 Inputs'!$C$17*'A2 Inputs'!$C$23+'A2 Inputs'!$C$17</f>
        <v>52850000</v>
      </c>
      <c r="D41" s="94" t="n">
        <f aca="false">D36*D39+'A2 Inputs'!$C$17*'A2 Inputs'!$C$23</f>
        <v>18353086.8965496</v>
      </c>
      <c r="E41" s="94" t="n">
        <f aca="false">E36*E39+'A2 Inputs'!$C$17*'A2 Inputs'!$C$23</f>
        <v>19687963.9806918</v>
      </c>
      <c r="F41" s="94" t="n">
        <f aca="false">F36*F39+'A2 Inputs'!$C$17*'A2 Inputs'!$C$23</f>
        <v>21539175.6775095</v>
      </c>
      <c r="G41" s="94" t="n">
        <f aca="false">G36*G39+'A2 Inputs'!$C$17*'A2 Inputs'!$C$23</f>
        <v>25129247.62735</v>
      </c>
      <c r="H41" s="94" t="n">
        <f aca="false">H36*H39+'A2 Inputs'!$C$17*'A2 Inputs'!$C$23</f>
        <v>29535879.5422926</v>
      </c>
      <c r="I41" s="94" t="n">
        <f aca="false">I36*I39+'A2 Inputs'!$C$17*'A2 Inputs'!$C$23</f>
        <v>34907018.2364275</v>
      </c>
    </row>
    <row r="42" customFormat="false" ht="15" hidden="false" customHeight="true" outlineLevel="0" collapsed="false">
      <c r="B42" s="30" t="s">
        <v>301</v>
      </c>
      <c r="C42" s="94" t="n">
        <f aca="false">(C40-C41)/(1+'A2 Inputs'!$C$10)^1</f>
        <v>-33125000</v>
      </c>
      <c r="D42" s="94" t="n">
        <f aca="false">(D40-D41)/(1+'A2 Inputs'!$C$10)^2</f>
        <v>1534628.59012307</v>
      </c>
      <c r="E42" s="94" t="n">
        <f aca="false">(E40-E41)/(1+'A2 Inputs'!$C$10)^3</f>
        <v>4569715.99740923</v>
      </c>
      <c r="F42" s="94" t="n">
        <f aca="false">(F40-F41)/(1+'A2 Inputs'!$C$10)^4</f>
        <v>7673871.2430089</v>
      </c>
      <c r="G42" s="94" t="n">
        <f aca="false">(G40-G41)/(1+'A2 Inputs'!$C$10)^5</f>
        <v>10298221.040502</v>
      </c>
      <c r="H42" s="94" t="n">
        <f aca="false">(H40-H41)/(1+'A2 Inputs'!$C$10)^6</f>
        <v>13266056.8424755</v>
      </c>
      <c r="I42" s="94" t="n">
        <f aca="false">(I40-I41)/(1+'A2 Inputs'!$C$10)^7</f>
        <v>16661565.5796665</v>
      </c>
    </row>
    <row r="44" customFormat="false" ht="15" hidden="false" customHeight="true" outlineLevel="0" collapsed="false">
      <c r="B44" s="70" t="s">
        <v>304</v>
      </c>
      <c r="C44" s="30" t="s">
        <v>288</v>
      </c>
      <c r="D44" s="30" t="s">
        <v>289</v>
      </c>
      <c r="E44" s="30" t="s">
        <v>290</v>
      </c>
      <c r="F44" s="30" t="s">
        <v>291</v>
      </c>
      <c r="G44" s="30" t="s">
        <v>292</v>
      </c>
      <c r="H44" s="30" t="s">
        <v>293</v>
      </c>
      <c r="I44" s="30" t="s">
        <v>294</v>
      </c>
    </row>
    <row r="45" customFormat="false" ht="15" hidden="false" customHeight="true" outlineLevel="0" collapsed="false">
      <c r="B45" s="30" t="s">
        <v>295</v>
      </c>
      <c r="C45" s="94" t="n">
        <f aca="false">5500000*(1+'A2 Inputs'!$C$8)^0</f>
        <v>5500000</v>
      </c>
      <c r="D45" s="94" t="n">
        <f aca="false">5500000*(1+'A2 Inputs'!$C$8)^1</f>
        <v>6875000</v>
      </c>
      <c r="E45" s="94" t="n">
        <f aca="false">5500000*(1+'A2 Inputs'!$C$8)^2</f>
        <v>8593750</v>
      </c>
      <c r="F45" s="94" t="n">
        <f aca="false">5500000*(1+'A2 Inputs'!$C$8)^3</f>
        <v>10742187.5</v>
      </c>
      <c r="G45" s="94" t="n">
        <f aca="false">5500000*(1+'A2 Inputs'!$C$8)^4</f>
        <v>13427734.375</v>
      </c>
      <c r="H45" s="94" t="n">
        <f aca="false">5500000*(1+'A2 Inputs'!$C$8)^5</f>
        <v>16784667.96875</v>
      </c>
      <c r="I45" s="94" t="n">
        <f aca="false">5500000*(1+'A2 Inputs'!$C$8)^6</f>
        <v>20980834.9609375</v>
      </c>
    </row>
    <row r="46" customFormat="false" ht="15" hidden="false" customHeight="true" outlineLevel="0" collapsed="false">
      <c r="B46" s="30" t="s">
        <v>296</v>
      </c>
      <c r="C46" s="94" t="n">
        <f aca="false">5500000*((1+'A2 Inputs'!$C$8)^1-1)/'A2 Inputs'!$C$8</f>
        <v>5500000</v>
      </c>
      <c r="D46" s="94" t="n">
        <f aca="false">5500000*((1+'A2 Inputs'!$C$8)^2-1)/'A2 Inputs'!$C$8</f>
        <v>12375000</v>
      </c>
      <c r="E46" s="94" t="n">
        <f aca="false">5500000*((1+'A2 Inputs'!$C$8)^3-1)/'A2 Inputs'!$C$8</f>
        <v>20968750</v>
      </c>
      <c r="F46" s="94" t="n">
        <f aca="false">5500000*((1+'A2 Inputs'!$C$8)^4-1)/'A2 Inputs'!$C$8</f>
        <v>31710937.5</v>
      </c>
      <c r="G46" s="94" t="n">
        <f aca="false">5500000*((1+'A2 Inputs'!$C$8)^5-1)/'A2 Inputs'!$C$8</f>
        <v>45138671.875</v>
      </c>
      <c r="H46" s="94" t="n">
        <f aca="false">5500000*((1+'A2 Inputs'!$C$8)^6-1)/'A2 Inputs'!$C$8</f>
        <v>61923339.84375</v>
      </c>
      <c r="I46" s="94" t="n">
        <f aca="false">5500000*((1+'A2 Inputs'!$C$8)^7-1)/'A2 Inputs'!$C$8</f>
        <v>82904174.8046875</v>
      </c>
    </row>
    <row r="47" customFormat="false" ht="15" hidden="false" customHeight="true" outlineLevel="0" collapsed="false">
      <c r="B47" s="30" t="s">
        <v>297</v>
      </c>
      <c r="C47" s="94" t="n">
        <f aca="false">'A2 Inputs'!$C$21+('A2 Inputs'!$C$22-'A2 Inputs'!$C$21)*MIN(1,(0)/3)</f>
        <v>0.8</v>
      </c>
      <c r="D47" s="94" t="n">
        <f aca="false">'A2 Inputs'!$C$21+('A2 Inputs'!$C$22-'A2 Inputs'!$C$21)*MIN(1,(1)/3)</f>
        <v>0.856666666666667</v>
      </c>
      <c r="E47" s="94" t="n">
        <f aca="false">'A2 Inputs'!$C$21+('A2 Inputs'!$C$22-'A2 Inputs'!$C$21)*MIN(1,(2)/3)</f>
        <v>0.913333333333333</v>
      </c>
      <c r="F47" s="94" t="n">
        <f aca="false">'A2 Inputs'!$C$21+('A2 Inputs'!$C$22-'A2 Inputs'!$C$21)*MIN(1,(3)/3)</f>
        <v>0.97</v>
      </c>
      <c r="G47" s="94" t="n">
        <f aca="false">'A2 Inputs'!$C$21+('A2 Inputs'!$C$22-'A2 Inputs'!$C$21)*MIN(1,(4)/3)</f>
        <v>0.97</v>
      </c>
      <c r="H47" s="94" t="n">
        <f aca="false">'A2 Inputs'!$C$21+('A2 Inputs'!$C$22-'A2 Inputs'!$C$21)*MIN(1,(5)/3)</f>
        <v>0.97</v>
      </c>
      <c r="I47" s="94" t="n">
        <f aca="false">'A2 Inputs'!$C$21+('A2 Inputs'!$C$22-'A2 Inputs'!$C$21)*MIN(1,(6)/3)</f>
        <v>0.97</v>
      </c>
    </row>
    <row r="48" customFormat="false" ht="15" hidden="false" customHeight="true" outlineLevel="0" collapsed="false">
      <c r="B48" s="30" t="s">
        <v>298</v>
      </c>
      <c r="C48" s="94" t="n">
        <f aca="false">'A2 Inputs'!$C$19*((C46/5500000)^(LOG(0.9,2)))/C47</f>
        <v>4.5</v>
      </c>
      <c r="D48" s="94" t="n">
        <f aca="false">'A2 Inputs'!$C$19*((D46/5500000)^(LOG(0.9,2)))/D47</f>
        <v>3.71499129063991</v>
      </c>
      <c r="E48" s="94" t="n">
        <f aca="false">'A2 Inputs'!$C$19*((E46/5500000)^(LOG(0.9,2)))/E47</f>
        <v>3.21608484218365</v>
      </c>
      <c r="F48" s="94" t="n">
        <f aca="false">'A2 Inputs'!$C$19*((F46/5500000)^(LOG(0.9,2)))/F47</f>
        <v>2.84367369910996</v>
      </c>
      <c r="G48" s="94" t="n">
        <f aca="false">'A2 Inputs'!$C$19*((G46/5500000)^(LOG(0.9,2)))/G47</f>
        <v>2.69507995090359</v>
      </c>
      <c r="H48" s="94" t="n">
        <f aca="false">'A2 Inputs'!$C$19*((H46/5500000)^(LOG(0.9,2)))/H47</f>
        <v>2.5686254309767</v>
      </c>
      <c r="I48" s="94" t="n">
        <f aca="false">'A2 Inputs'!$C$19*((I46/5500000)^(LOG(0.9,2)))/I47</f>
        <v>2.45718942530573</v>
      </c>
    </row>
    <row r="49" customFormat="false" ht="15" hidden="false" customHeight="true" outlineLevel="0" collapsed="false">
      <c r="B49" s="30" t="s">
        <v>299</v>
      </c>
      <c r="C49" s="94" t="n">
        <f aca="false">C45*'A2 Inputs'!$C$13*(1+'A2 Inputs'!$C$14)^0</f>
        <v>24750000</v>
      </c>
      <c r="D49" s="94" t="n">
        <f aca="false">D45*'A2 Inputs'!$C$13*(1+'A2 Inputs'!$C$14)^1</f>
        <v>31865625</v>
      </c>
      <c r="E49" s="94" t="n">
        <f aca="false">E45*'A2 Inputs'!$C$13*(1+'A2 Inputs'!$C$14)^2</f>
        <v>41026992.1875</v>
      </c>
      <c r="F49" s="94" t="n">
        <f aca="false">F45*'A2 Inputs'!$C$13*(1+'A2 Inputs'!$C$14)^3</f>
        <v>52822252.4414063</v>
      </c>
      <c r="G49" s="94" t="n">
        <f aca="false">G45*'A2 Inputs'!$C$13*(1+'A2 Inputs'!$C$14)^4</f>
        <v>68008650.0183106</v>
      </c>
      <c r="H49" s="94" t="n">
        <f aca="false">H45*'A2 Inputs'!$C$13*(1+'A2 Inputs'!$C$14)^5</f>
        <v>87561136.8985748</v>
      </c>
      <c r="I49" s="94" t="n">
        <f aca="false">I45*'A2 Inputs'!$C$13*(1+'A2 Inputs'!$C$14)^6</f>
        <v>112734963.756915</v>
      </c>
    </row>
    <row r="50" customFormat="false" ht="15" hidden="false" customHeight="true" outlineLevel="0" collapsed="false">
      <c r="B50" s="30" t="s">
        <v>300</v>
      </c>
      <c r="C50" s="94" t="n">
        <f aca="false">C45*C48+'A2 Inputs'!$C$17*'A2 Inputs'!$C$23+'A2 Inputs'!$C$17</f>
        <v>61850000</v>
      </c>
      <c r="D50" s="94" t="n">
        <f aca="false">D45*D48+'A2 Inputs'!$C$17*'A2 Inputs'!$C$23</f>
        <v>27640565.1231494</v>
      </c>
      <c r="E50" s="94" t="n">
        <f aca="false">E45*E48+'A2 Inputs'!$C$17*'A2 Inputs'!$C$23</f>
        <v>29738229.1125157</v>
      </c>
      <c r="F50" s="94" t="n">
        <f aca="false">F45*F48+'A2 Inputs'!$C$17*'A2 Inputs'!$C$23</f>
        <v>32647276.0646577</v>
      </c>
      <c r="G50" s="94" t="n">
        <f aca="false">G45*G48+'A2 Inputs'!$C$17*'A2 Inputs'!$C$23</f>
        <v>38288817.7001215</v>
      </c>
      <c r="H50" s="94" t="n">
        <f aca="false">H45*H48+'A2 Inputs'!$C$17*'A2 Inputs'!$C$23</f>
        <v>45213524.9950312</v>
      </c>
      <c r="I50" s="94" t="n">
        <f aca="false">I45*I48+'A2 Inputs'!$C$17*'A2 Inputs'!$C$23</f>
        <v>53653885.8001003</v>
      </c>
    </row>
    <row r="51" customFormat="false" ht="15" hidden="false" customHeight="true" outlineLevel="0" collapsed="false">
      <c r="B51" s="30" t="s">
        <v>301</v>
      </c>
      <c r="C51" s="94" t="n">
        <f aca="false">(C49-C50)/(1+'A2 Inputs'!$C$10)^1</f>
        <v>-33125000</v>
      </c>
      <c r="D51" s="94" t="n">
        <f aca="false">(D49-D50)/(1+'A2 Inputs'!$C$10)^2</f>
        <v>3368191.86611176</v>
      </c>
      <c r="E51" s="94" t="n">
        <f aca="false">(E49-E50)/(1+'A2 Inputs'!$C$10)^3</f>
        <v>8035118.57901918</v>
      </c>
      <c r="F51" s="94" t="n">
        <f aca="false">(F49-F50)/(1+'A2 Inputs'!$C$10)^4</f>
        <v>12821562.2188141</v>
      </c>
      <c r="G51" s="94" t="n">
        <f aca="false">(G49-G50)/(1+'A2 Inputs'!$C$10)^5</f>
        <v>16863831.004794</v>
      </c>
      <c r="H51" s="94" t="n">
        <f aca="false">(H49-H50)/(1+'A2 Inputs'!$C$10)^6</f>
        <v>21454618.0978744</v>
      </c>
      <c r="I51" s="94" t="n">
        <f aca="false">(I49-I50)/(1+'A2 Inputs'!$C$10)^7</f>
        <v>26725279.255023</v>
      </c>
    </row>
    <row r="53" customFormat="false" ht="15" hidden="false" customHeight="true" outlineLevel="0" collapsed="false">
      <c r="B53" s="70" t="s">
        <v>305</v>
      </c>
      <c r="C53" s="30" t="s">
        <v>288</v>
      </c>
      <c r="D53" s="30" t="s">
        <v>289</v>
      </c>
      <c r="E53" s="30" t="s">
        <v>290</v>
      </c>
      <c r="F53" s="30" t="s">
        <v>291</v>
      </c>
      <c r="G53" s="30" t="s">
        <v>292</v>
      </c>
      <c r="H53" s="30" t="s">
        <v>293</v>
      </c>
      <c r="I53" s="30" t="s">
        <v>294</v>
      </c>
    </row>
    <row r="54" customFormat="false" ht="15" hidden="false" customHeight="true" outlineLevel="0" collapsed="false">
      <c r="B54" s="30" t="s">
        <v>295</v>
      </c>
      <c r="C54" s="94" t="n">
        <f aca="false">8000000*(1+'A2 Inputs'!$C$8)^0</f>
        <v>8000000</v>
      </c>
      <c r="D54" s="94" t="n">
        <f aca="false">8000000*(1+'A2 Inputs'!$C$8)^1</f>
        <v>10000000</v>
      </c>
      <c r="E54" s="94" t="n">
        <f aca="false">8000000*(1+'A2 Inputs'!$C$8)^2</f>
        <v>12500000</v>
      </c>
      <c r="F54" s="94" t="n">
        <f aca="false">8000000*(1+'A2 Inputs'!$C$8)^3</f>
        <v>15625000</v>
      </c>
      <c r="G54" s="94" t="n">
        <f aca="false">8000000*(1+'A2 Inputs'!$C$8)^4</f>
        <v>19531250</v>
      </c>
      <c r="H54" s="94" t="n">
        <f aca="false">8000000*(1+'A2 Inputs'!$C$8)^5</f>
        <v>24414062.5</v>
      </c>
      <c r="I54" s="94" t="n">
        <f aca="false">8000000*(1+'A2 Inputs'!$C$8)^6</f>
        <v>30517578.125</v>
      </c>
    </row>
    <row r="55" customFormat="false" ht="15" hidden="false" customHeight="true" outlineLevel="0" collapsed="false">
      <c r="B55" s="30" t="s">
        <v>296</v>
      </c>
      <c r="C55" s="94" t="n">
        <f aca="false">8000000*((1+'A2 Inputs'!$C$8)^1-1)/'A2 Inputs'!$C$8</f>
        <v>8000000</v>
      </c>
      <c r="D55" s="94" t="n">
        <f aca="false">8000000*((1+'A2 Inputs'!$C$8)^2-1)/'A2 Inputs'!$C$8</f>
        <v>18000000</v>
      </c>
      <c r="E55" s="94" t="n">
        <f aca="false">8000000*((1+'A2 Inputs'!$C$8)^3-1)/'A2 Inputs'!$C$8</f>
        <v>30500000</v>
      </c>
      <c r="F55" s="94" t="n">
        <f aca="false">8000000*((1+'A2 Inputs'!$C$8)^4-1)/'A2 Inputs'!$C$8</f>
        <v>46125000</v>
      </c>
      <c r="G55" s="94" t="n">
        <f aca="false">8000000*((1+'A2 Inputs'!$C$8)^5-1)/'A2 Inputs'!$C$8</f>
        <v>65656250</v>
      </c>
      <c r="H55" s="94" t="n">
        <f aca="false">8000000*((1+'A2 Inputs'!$C$8)^6-1)/'A2 Inputs'!$C$8</f>
        <v>90070312.5</v>
      </c>
      <c r="I55" s="94" t="n">
        <f aca="false">8000000*((1+'A2 Inputs'!$C$8)^7-1)/'A2 Inputs'!$C$8</f>
        <v>120587890.625</v>
      </c>
    </row>
    <row r="56" customFormat="false" ht="15" hidden="false" customHeight="true" outlineLevel="0" collapsed="false">
      <c r="B56" s="30" t="s">
        <v>297</v>
      </c>
      <c r="C56" s="94" t="n">
        <f aca="false">'A2 Inputs'!$C$21+('A2 Inputs'!$C$22-'A2 Inputs'!$C$21)*MIN(1,(0)/3)</f>
        <v>0.8</v>
      </c>
      <c r="D56" s="94" t="n">
        <f aca="false">'A2 Inputs'!$C$21+('A2 Inputs'!$C$22-'A2 Inputs'!$C$21)*MIN(1,(1)/3)</f>
        <v>0.856666666666667</v>
      </c>
      <c r="E56" s="94" t="n">
        <f aca="false">'A2 Inputs'!$C$21+('A2 Inputs'!$C$22-'A2 Inputs'!$C$21)*MIN(1,(2)/3)</f>
        <v>0.913333333333333</v>
      </c>
      <c r="F56" s="94" t="n">
        <f aca="false">'A2 Inputs'!$C$21+('A2 Inputs'!$C$22-'A2 Inputs'!$C$21)*MIN(1,(3)/3)</f>
        <v>0.97</v>
      </c>
      <c r="G56" s="94" t="n">
        <f aca="false">'A2 Inputs'!$C$21+('A2 Inputs'!$C$22-'A2 Inputs'!$C$21)*MIN(1,(4)/3)</f>
        <v>0.97</v>
      </c>
      <c r="H56" s="94" t="n">
        <f aca="false">'A2 Inputs'!$C$21+('A2 Inputs'!$C$22-'A2 Inputs'!$C$21)*MIN(1,(5)/3)</f>
        <v>0.97</v>
      </c>
      <c r="I56" s="94" t="n">
        <f aca="false">'A2 Inputs'!$C$21+('A2 Inputs'!$C$22-'A2 Inputs'!$C$21)*MIN(1,(6)/3)</f>
        <v>0.97</v>
      </c>
    </row>
    <row r="57" customFormat="false" ht="15" hidden="false" customHeight="true" outlineLevel="0" collapsed="false">
      <c r="B57" s="30" t="s">
        <v>298</v>
      </c>
      <c r="C57" s="94" t="n">
        <f aca="false">'A2 Inputs'!$C$19*((C55/8000000)^(LOG(0.9,2)))/C56</f>
        <v>4.5</v>
      </c>
      <c r="D57" s="94" t="n">
        <f aca="false">'A2 Inputs'!$C$19*((D55/8000000)^(LOG(0.9,2)))/D56</f>
        <v>3.71499129063991</v>
      </c>
      <c r="E57" s="94" t="n">
        <f aca="false">'A2 Inputs'!$C$19*((E55/8000000)^(LOG(0.9,2)))/E56</f>
        <v>3.21608484218365</v>
      </c>
      <c r="F57" s="94" t="n">
        <f aca="false">'A2 Inputs'!$C$19*((F55/8000000)^(LOG(0.9,2)))/F56</f>
        <v>2.84367369910996</v>
      </c>
      <c r="G57" s="94" t="n">
        <f aca="false">'A2 Inputs'!$C$19*((G55/8000000)^(LOG(0.9,2)))/G56</f>
        <v>2.69507995090359</v>
      </c>
      <c r="H57" s="94" t="n">
        <f aca="false">'A2 Inputs'!$C$19*((H55/8000000)^(LOG(0.9,2)))/H56</f>
        <v>2.5686254309767</v>
      </c>
      <c r="I57" s="94" t="n">
        <f aca="false">'A2 Inputs'!$C$19*((I55/8000000)^(LOG(0.9,2)))/I56</f>
        <v>2.45718942530573</v>
      </c>
    </row>
    <row r="58" customFormat="false" ht="15" hidden="false" customHeight="true" outlineLevel="0" collapsed="false">
      <c r="B58" s="30" t="s">
        <v>299</v>
      </c>
      <c r="C58" s="94" t="n">
        <f aca="false">C54*'A2 Inputs'!$C$13*(1+'A2 Inputs'!$C$14)^0</f>
        <v>36000000</v>
      </c>
      <c r="D58" s="94" t="n">
        <f aca="false">D54*'A2 Inputs'!$C$13*(1+'A2 Inputs'!$C$14)^1</f>
        <v>46350000</v>
      </c>
      <c r="E58" s="94" t="n">
        <f aca="false">E54*'A2 Inputs'!$C$13*(1+'A2 Inputs'!$C$14)^2</f>
        <v>59675625</v>
      </c>
      <c r="F58" s="94" t="n">
        <f aca="false">F54*'A2 Inputs'!$C$13*(1+'A2 Inputs'!$C$14)^3</f>
        <v>76832367.1875</v>
      </c>
      <c r="G58" s="94" t="n">
        <f aca="false">G54*'A2 Inputs'!$C$13*(1+'A2 Inputs'!$C$14)^4</f>
        <v>98921672.7539063</v>
      </c>
      <c r="H58" s="94" t="n">
        <f aca="false">H54*'A2 Inputs'!$C$13*(1+'A2 Inputs'!$C$14)^5</f>
        <v>127361653.670654</v>
      </c>
      <c r="I58" s="94" t="n">
        <f aca="false">I54*'A2 Inputs'!$C$13*(1+'A2 Inputs'!$C$14)^6</f>
        <v>163978129.100967</v>
      </c>
    </row>
    <row r="59" customFormat="false" ht="15" hidden="false" customHeight="true" outlineLevel="0" collapsed="false">
      <c r="B59" s="30" t="s">
        <v>300</v>
      </c>
      <c r="C59" s="94" t="n">
        <f aca="false">C54*C57+'A2 Inputs'!$C$17*'A2 Inputs'!$C$23+'A2 Inputs'!$C$17</f>
        <v>73100000</v>
      </c>
      <c r="D59" s="94" t="n">
        <f aca="false">D54*D57+'A2 Inputs'!$C$17*'A2 Inputs'!$C$23</f>
        <v>39249912.9063991</v>
      </c>
      <c r="E59" s="94" t="n">
        <f aca="false">E54*E57+'A2 Inputs'!$C$17*'A2 Inputs'!$C$23</f>
        <v>42301060.5272956</v>
      </c>
      <c r="F59" s="94" t="n">
        <f aca="false">F54*F57+'A2 Inputs'!$C$17*'A2 Inputs'!$C$23</f>
        <v>46532401.5485931</v>
      </c>
      <c r="G59" s="94" t="n">
        <f aca="false">G54*G57+'A2 Inputs'!$C$17*'A2 Inputs'!$C$23</f>
        <v>54738280.2910858</v>
      </c>
      <c r="H59" s="94" t="n">
        <f aca="false">H54*H57+'A2 Inputs'!$C$17*'A2 Inputs'!$C$23</f>
        <v>64810581.8109545</v>
      </c>
      <c r="I59" s="94" t="n">
        <f aca="false">I54*I57+'A2 Inputs'!$C$17*'A2 Inputs'!$C$23</f>
        <v>77087470.2546914</v>
      </c>
    </row>
    <row r="60" customFormat="false" ht="15" hidden="false" customHeight="true" outlineLevel="0" collapsed="false">
      <c r="B60" s="30" t="s">
        <v>301</v>
      </c>
      <c r="C60" s="94" t="n">
        <f aca="false">(C58-C59)/(1+'A2 Inputs'!$C$10)^1</f>
        <v>-33125000</v>
      </c>
      <c r="D60" s="94" t="n">
        <f aca="false">(D58-D59)/(1+'A2 Inputs'!$C$10)^2</f>
        <v>5660145.96109763</v>
      </c>
      <c r="E60" s="94" t="n">
        <f aca="false">(E58-E59)/(1+'A2 Inputs'!$C$10)^3</f>
        <v>12366871.8060316</v>
      </c>
      <c r="F60" s="94" t="n">
        <f aca="false">(F58-F59)/(1+'A2 Inputs'!$C$10)^4</f>
        <v>19256175.9385705</v>
      </c>
      <c r="G60" s="94" t="n">
        <f aca="false">(G58-G59)/(1+'A2 Inputs'!$C$10)^5</f>
        <v>25070843.4601591</v>
      </c>
      <c r="H60" s="94" t="n">
        <f aca="false">(H58-H59)/(1+'A2 Inputs'!$C$10)^6</f>
        <v>31690319.6671229</v>
      </c>
      <c r="I60" s="94" t="n">
        <f aca="false">(I58-I59)/(1+'A2 Inputs'!$C$10)^7</f>
        <v>39304921.3492187</v>
      </c>
    </row>
    <row r="62" customFormat="false" ht="15" hidden="false" customHeight="true" outlineLevel="0" collapsed="false">
      <c r="B62" s="70" t="s">
        <v>306</v>
      </c>
      <c r="C62" s="30" t="s">
        <v>288</v>
      </c>
      <c r="D62" s="30" t="s">
        <v>289</v>
      </c>
      <c r="E62" s="30" t="s">
        <v>290</v>
      </c>
      <c r="F62" s="30" t="s">
        <v>291</v>
      </c>
      <c r="G62" s="30" t="s">
        <v>292</v>
      </c>
      <c r="H62" s="30" t="s">
        <v>293</v>
      </c>
      <c r="I62" s="30" t="s">
        <v>294</v>
      </c>
    </row>
    <row r="63" customFormat="false" ht="15" hidden="false" customHeight="true" outlineLevel="0" collapsed="false">
      <c r="B63" s="30" t="s">
        <v>295</v>
      </c>
      <c r="C63" s="94" t="n">
        <f aca="false">1000000*(1+'A2 Inputs'!$C$8)^0</f>
        <v>1000000</v>
      </c>
      <c r="D63" s="94" t="n">
        <f aca="false">1000000*(1+'A2 Inputs'!$C$8)^1</f>
        <v>1250000</v>
      </c>
      <c r="E63" s="94" t="n">
        <f aca="false">1000000*(1+'A2 Inputs'!$C$8)^2</f>
        <v>1562500</v>
      </c>
      <c r="F63" s="94" t="n">
        <f aca="false">1000000*(1+'A2 Inputs'!$C$8)^3</f>
        <v>1953125</v>
      </c>
      <c r="G63" s="94" t="n">
        <f aca="false">1000000*(1+'A2 Inputs'!$C$8)^4</f>
        <v>2441406.25</v>
      </c>
      <c r="H63" s="94" t="n">
        <f aca="false">1000000*(1+'A2 Inputs'!$C$8)^5</f>
        <v>3051757.8125</v>
      </c>
      <c r="I63" s="94" t="n">
        <f aca="false">1000000*(1+'A2 Inputs'!$C$8)^6</f>
        <v>3814697.265625</v>
      </c>
    </row>
    <row r="64" customFormat="false" ht="15" hidden="false" customHeight="true" outlineLevel="0" collapsed="false">
      <c r="B64" s="30" t="s">
        <v>296</v>
      </c>
      <c r="C64" s="94" t="n">
        <f aca="false">1000000*((1+'A2 Inputs'!$C$8)^1-1)/'A2 Inputs'!$C$8</f>
        <v>1000000</v>
      </c>
      <c r="D64" s="94" t="n">
        <f aca="false">1000000*((1+'A2 Inputs'!$C$8)^2-1)/'A2 Inputs'!$C$8</f>
        <v>2250000</v>
      </c>
      <c r="E64" s="94" t="n">
        <f aca="false">1000000*((1+'A2 Inputs'!$C$8)^3-1)/'A2 Inputs'!$C$8</f>
        <v>3812500</v>
      </c>
      <c r="F64" s="94" t="n">
        <f aca="false">1000000*((1+'A2 Inputs'!$C$8)^4-1)/'A2 Inputs'!$C$8</f>
        <v>5765625</v>
      </c>
      <c r="G64" s="94" t="n">
        <f aca="false">1000000*((1+'A2 Inputs'!$C$8)^5-1)/'A2 Inputs'!$C$8</f>
        <v>8207031.25</v>
      </c>
      <c r="H64" s="94" t="n">
        <f aca="false">1000000*((1+'A2 Inputs'!$C$8)^6-1)/'A2 Inputs'!$C$8</f>
        <v>11258789.0625</v>
      </c>
      <c r="I64" s="94" t="n">
        <f aca="false">1000000*((1+'A2 Inputs'!$C$8)^7-1)/'A2 Inputs'!$C$8</f>
        <v>15073486.328125</v>
      </c>
    </row>
    <row r="65" customFormat="false" ht="15" hidden="false" customHeight="true" outlineLevel="0" collapsed="false">
      <c r="B65" s="30" t="s">
        <v>297</v>
      </c>
      <c r="C65" s="94" t="n">
        <f aca="false">'A2 Inputs'!$C$21+('A2 Inputs'!$C$22-'A2 Inputs'!$C$21)*MIN(1,(0)/3)</f>
        <v>0.8</v>
      </c>
      <c r="D65" s="94" t="n">
        <f aca="false">'A2 Inputs'!$C$21+('A2 Inputs'!$C$22-'A2 Inputs'!$C$21)*MIN(1,(1)/3)</f>
        <v>0.856666666666667</v>
      </c>
      <c r="E65" s="94" t="n">
        <f aca="false">'A2 Inputs'!$C$21+('A2 Inputs'!$C$22-'A2 Inputs'!$C$21)*MIN(1,(2)/3)</f>
        <v>0.913333333333333</v>
      </c>
      <c r="F65" s="94" t="n">
        <f aca="false">'A2 Inputs'!$C$21+('A2 Inputs'!$C$22-'A2 Inputs'!$C$21)*MIN(1,(3)/3)</f>
        <v>0.97</v>
      </c>
      <c r="G65" s="94" t="n">
        <f aca="false">'A2 Inputs'!$C$21+('A2 Inputs'!$C$22-'A2 Inputs'!$C$21)*MIN(1,(4)/3)</f>
        <v>0.97</v>
      </c>
      <c r="H65" s="94" t="n">
        <f aca="false">'A2 Inputs'!$C$21+('A2 Inputs'!$C$22-'A2 Inputs'!$C$21)*MIN(1,(5)/3)</f>
        <v>0.97</v>
      </c>
      <c r="I65" s="94" t="n">
        <f aca="false">'A2 Inputs'!$C$21+('A2 Inputs'!$C$22-'A2 Inputs'!$C$21)*MIN(1,(6)/3)</f>
        <v>0.97</v>
      </c>
    </row>
    <row r="66" customFormat="false" ht="15" hidden="false" customHeight="true" outlineLevel="0" collapsed="false">
      <c r="B66" s="30" t="s">
        <v>298</v>
      </c>
      <c r="C66" s="94" t="n">
        <f aca="false">'A2 Inputs'!$C$19*((C64/1000000)^(LOG(0.88,2)))/C65</f>
        <v>4.5</v>
      </c>
      <c r="D66" s="94" t="n">
        <f aca="false">'A2 Inputs'!$C$19*((D64/1000000)^(LOG(0.88,2)))/D65</f>
        <v>3.6185911965797</v>
      </c>
      <c r="E66" s="94" t="n">
        <f aca="false">'A2 Inputs'!$C$19*((E64/1000000)^(LOG(0.88,2)))/E65</f>
        <v>3.07952557296569</v>
      </c>
      <c r="F66" s="94" t="n">
        <f aca="false">'A2 Inputs'!$C$19*((F64/1000000)^(LOG(0.88,2)))/F65</f>
        <v>2.68665559224394</v>
      </c>
      <c r="G66" s="94" t="n">
        <f aca="false">'A2 Inputs'!$C$19*((G64/1000000)^(LOG(0.88,2)))/G65</f>
        <v>2.5172850087215</v>
      </c>
      <c r="H66" s="94" t="n">
        <f aca="false">'A2 Inputs'!$C$19*((H64/1000000)^(LOG(0.88,2)))/H65</f>
        <v>2.37470607844073</v>
      </c>
      <c r="I66" s="94" t="n">
        <f aca="false">'A2 Inputs'!$C$19*((I64/1000000)^(LOG(0.88,2)))/I65</f>
        <v>2.25029371945853</v>
      </c>
    </row>
    <row r="67" customFormat="false" ht="15" hidden="false" customHeight="true" outlineLevel="0" collapsed="false">
      <c r="B67" s="30" t="s">
        <v>299</v>
      </c>
      <c r="C67" s="94" t="n">
        <f aca="false">C63*'A2 Inputs'!$C$13*(1+'A2 Inputs'!$C$14)^0</f>
        <v>4500000</v>
      </c>
      <c r="D67" s="94" t="n">
        <f aca="false">D63*'A2 Inputs'!$C$13*(1+'A2 Inputs'!$C$14)^1</f>
        <v>5793750</v>
      </c>
      <c r="E67" s="94" t="n">
        <f aca="false">E63*'A2 Inputs'!$C$13*(1+'A2 Inputs'!$C$14)^2</f>
        <v>7459453.125</v>
      </c>
      <c r="F67" s="94" t="n">
        <f aca="false">F63*'A2 Inputs'!$C$13*(1+'A2 Inputs'!$C$14)^3</f>
        <v>9604045.8984375</v>
      </c>
      <c r="G67" s="94" t="n">
        <f aca="false">G63*'A2 Inputs'!$C$13*(1+'A2 Inputs'!$C$14)^4</f>
        <v>12365209.0942383</v>
      </c>
      <c r="H67" s="94" t="n">
        <f aca="false">H63*'A2 Inputs'!$C$13*(1+'A2 Inputs'!$C$14)^5</f>
        <v>15920206.7088318</v>
      </c>
      <c r="I67" s="94" t="n">
        <f aca="false">I63*'A2 Inputs'!$C$13*(1+'A2 Inputs'!$C$14)^6</f>
        <v>20497266.1376209</v>
      </c>
    </row>
    <row r="68" customFormat="false" ht="15" hidden="false" customHeight="true" outlineLevel="0" collapsed="false">
      <c r="B68" s="30" t="s">
        <v>300</v>
      </c>
      <c r="C68" s="94" t="n">
        <f aca="false">C63*C66+'A2 Inputs'!$C$17*'A2 Inputs'!$C$23+'A2 Inputs'!$C$17</f>
        <v>41600000</v>
      </c>
      <c r="D68" s="94" t="n">
        <f aca="false">D63*D66+'A2 Inputs'!$C$17*'A2 Inputs'!$C$23</f>
        <v>6623238.99572463</v>
      </c>
      <c r="E68" s="94" t="n">
        <f aca="false">E63*E66+'A2 Inputs'!$C$17*'A2 Inputs'!$C$23</f>
        <v>6911758.70775889</v>
      </c>
      <c r="F68" s="94" t="n">
        <f aca="false">F63*F66+'A2 Inputs'!$C$17*'A2 Inputs'!$C$23</f>
        <v>7347374.20360145</v>
      </c>
      <c r="G68" s="94" t="n">
        <f aca="false">G63*G66+'A2 Inputs'!$C$17*'A2 Inputs'!$C$23</f>
        <v>8245715.35332396</v>
      </c>
      <c r="H68" s="94" t="n">
        <f aca="false">H63*H66+'A2 Inputs'!$C$17*'A2 Inputs'!$C$23</f>
        <v>9347027.82727273</v>
      </c>
      <c r="I68" s="94" t="n">
        <f aca="false">I63*I66+'A2 Inputs'!$C$17*'A2 Inputs'!$C$23</f>
        <v>10684189.2984716</v>
      </c>
    </row>
    <row r="69" customFormat="false" ht="15" hidden="false" customHeight="true" outlineLevel="0" collapsed="false">
      <c r="B69" s="30" t="s">
        <v>301</v>
      </c>
      <c r="C69" s="94" t="n">
        <f aca="false">(C67-C68)/(1+'A2 Inputs'!$C$10)^1</f>
        <v>-33125000</v>
      </c>
      <c r="D69" s="94" t="n">
        <f aca="false">(D67-D68)/(1+'A2 Inputs'!$C$10)^2</f>
        <v>-661263.548887617</v>
      </c>
      <c r="E69" s="94" t="n">
        <f aca="false">(E67-E68)/(1+'A2 Inputs'!$C$10)^3</f>
        <v>389838.0680299</v>
      </c>
      <c r="F69" s="94" t="n">
        <f aca="false">(F67-F68)/(1+'A2 Inputs'!$C$10)^4</f>
        <v>1434155.65909278</v>
      </c>
      <c r="G69" s="94" t="n">
        <f aca="false">(G67-G68)/(1+'A2 Inputs'!$C$10)^5</f>
        <v>2337511.38055946</v>
      </c>
      <c r="H69" s="94" t="n">
        <f aca="false">(H67-H68)/(1+'A2 Inputs'!$C$10)^6</f>
        <v>3330176.98646335</v>
      </c>
      <c r="I69" s="94" t="n">
        <f aca="false">(I67-I68)/(1+'A2 Inputs'!$C$10)^7</f>
        <v>4438937.60822986</v>
      </c>
    </row>
    <row r="71" customFormat="false" ht="15" hidden="false" customHeight="true" outlineLevel="0" collapsed="false">
      <c r="B71" s="70" t="s">
        <v>307</v>
      </c>
      <c r="C71" s="30" t="s">
        <v>288</v>
      </c>
      <c r="D71" s="30" t="s">
        <v>289</v>
      </c>
      <c r="E71" s="30" t="s">
        <v>290</v>
      </c>
      <c r="F71" s="30" t="s">
        <v>291</v>
      </c>
      <c r="G71" s="30" t="s">
        <v>292</v>
      </c>
      <c r="H71" s="30" t="s">
        <v>293</v>
      </c>
      <c r="I71" s="30" t="s">
        <v>294</v>
      </c>
    </row>
    <row r="72" customFormat="false" ht="15" hidden="false" customHeight="true" outlineLevel="0" collapsed="false">
      <c r="B72" s="30" t="s">
        <v>295</v>
      </c>
      <c r="C72" s="94" t="n">
        <f aca="false">2000000*(1+'A2 Inputs'!$C$8)^0</f>
        <v>2000000</v>
      </c>
      <c r="D72" s="94" t="n">
        <f aca="false">2000000*(1+'A2 Inputs'!$C$8)^1</f>
        <v>2500000</v>
      </c>
      <c r="E72" s="94" t="n">
        <f aca="false">2000000*(1+'A2 Inputs'!$C$8)^2</f>
        <v>3125000</v>
      </c>
      <c r="F72" s="94" t="n">
        <f aca="false">2000000*(1+'A2 Inputs'!$C$8)^3</f>
        <v>3906250</v>
      </c>
      <c r="G72" s="94" t="n">
        <f aca="false">2000000*(1+'A2 Inputs'!$C$8)^4</f>
        <v>4882812.5</v>
      </c>
      <c r="H72" s="94" t="n">
        <f aca="false">2000000*(1+'A2 Inputs'!$C$8)^5</f>
        <v>6103515.625</v>
      </c>
      <c r="I72" s="94" t="n">
        <f aca="false">2000000*(1+'A2 Inputs'!$C$8)^6</f>
        <v>7629394.53125</v>
      </c>
    </row>
    <row r="73" customFormat="false" ht="15" hidden="false" customHeight="true" outlineLevel="0" collapsed="false">
      <c r="B73" s="30" t="s">
        <v>296</v>
      </c>
      <c r="C73" s="94" t="n">
        <f aca="false">2000000*((1+'A2 Inputs'!$C$8)^1-1)/'A2 Inputs'!$C$8</f>
        <v>2000000</v>
      </c>
      <c r="D73" s="94" t="n">
        <f aca="false">2000000*((1+'A2 Inputs'!$C$8)^2-1)/'A2 Inputs'!$C$8</f>
        <v>4500000</v>
      </c>
      <c r="E73" s="94" t="n">
        <f aca="false">2000000*((1+'A2 Inputs'!$C$8)^3-1)/'A2 Inputs'!$C$8</f>
        <v>7625000</v>
      </c>
      <c r="F73" s="94" t="n">
        <f aca="false">2000000*((1+'A2 Inputs'!$C$8)^4-1)/'A2 Inputs'!$C$8</f>
        <v>11531250</v>
      </c>
      <c r="G73" s="94" t="n">
        <f aca="false">2000000*((1+'A2 Inputs'!$C$8)^5-1)/'A2 Inputs'!$C$8</f>
        <v>16414062.5</v>
      </c>
      <c r="H73" s="94" t="n">
        <f aca="false">2000000*((1+'A2 Inputs'!$C$8)^6-1)/'A2 Inputs'!$C$8</f>
        <v>22517578.125</v>
      </c>
      <c r="I73" s="94" t="n">
        <f aca="false">2000000*((1+'A2 Inputs'!$C$8)^7-1)/'A2 Inputs'!$C$8</f>
        <v>30146972.65625</v>
      </c>
    </row>
    <row r="74" customFormat="false" ht="15" hidden="false" customHeight="true" outlineLevel="0" collapsed="false">
      <c r="B74" s="30" t="s">
        <v>297</v>
      </c>
      <c r="C74" s="94" t="n">
        <f aca="false">'A2 Inputs'!$C$21+('A2 Inputs'!$C$22-'A2 Inputs'!$C$21)*MIN(1,(0)/3)</f>
        <v>0.8</v>
      </c>
      <c r="D74" s="94" t="n">
        <f aca="false">'A2 Inputs'!$C$21+('A2 Inputs'!$C$22-'A2 Inputs'!$C$21)*MIN(1,(1)/3)</f>
        <v>0.856666666666667</v>
      </c>
      <c r="E74" s="94" t="n">
        <f aca="false">'A2 Inputs'!$C$21+('A2 Inputs'!$C$22-'A2 Inputs'!$C$21)*MIN(1,(2)/3)</f>
        <v>0.913333333333333</v>
      </c>
      <c r="F74" s="94" t="n">
        <f aca="false">'A2 Inputs'!$C$21+('A2 Inputs'!$C$22-'A2 Inputs'!$C$21)*MIN(1,(3)/3)</f>
        <v>0.97</v>
      </c>
      <c r="G74" s="94" t="n">
        <f aca="false">'A2 Inputs'!$C$21+('A2 Inputs'!$C$22-'A2 Inputs'!$C$21)*MIN(1,(4)/3)</f>
        <v>0.97</v>
      </c>
      <c r="H74" s="94" t="n">
        <f aca="false">'A2 Inputs'!$C$21+('A2 Inputs'!$C$22-'A2 Inputs'!$C$21)*MIN(1,(5)/3)</f>
        <v>0.97</v>
      </c>
      <c r="I74" s="94" t="n">
        <f aca="false">'A2 Inputs'!$C$21+('A2 Inputs'!$C$22-'A2 Inputs'!$C$21)*MIN(1,(6)/3)</f>
        <v>0.97</v>
      </c>
    </row>
    <row r="75" customFormat="false" ht="15" hidden="false" customHeight="true" outlineLevel="0" collapsed="false">
      <c r="B75" s="30" t="s">
        <v>298</v>
      </c>
      <c r="C75" s="94" t="n">
        <f aca="false">'A2 Inputs'!$C$19*((C73/2000000)^(LOG(0.88,2)))/C74</f>
        <v>4.5</v>
      </c>
      <c r="D75" s="94" t="n">
        <f aca="false">'A2 Inputs'!$C$19*((D73/2000000)^(LOG(0.88,2)))/D74</f>
        <v>3.6185911965797</v>
      </c>
      <c r="E75" s="94" t="n">
        <f aca="false">'A2 Inputs'!$C$19*((E73/2000000)^(LOG(0.88,2)))/E74</f>
        <v>3.07952557296569</v>
      </c>
      <c r="F75" s="94" t="n">
        <f aca="false">'A2 Inputs'!$C$19*((F73/2000000)^(LOG(0.88,2)))/F74</f>
        <v>2.68665559224394</v>
      </c>
      <c r="G75" s="94" t="n">
        <f aca="false">'A2 Inputs'!$C$19*((G73/2000000)^(LOG(0.88,2)))/G74</f>
        <v>2.5172850087215</v>
      </c>
      <c r="H75" s="94" t="n">
        <f aca="false">'A2 Inputs'!$C$19*((H73/2000000)^(LOG(0.88,2)))/H74</f>
        <v>2.37470607844073</v>
      </c>
      <c r="I75" s="94" t="n">
        <f aca="false">'A2 Inputs'!$C$19*((I73/2000000)^(LOG(0.88,2)))/I74</f>
        <v>2.25029371945853</v>
      </c>
    </row>
    <row r="76" customFormat="false" ht="15" hidden="false" customHeight="true" outlineLevel="0" collapsed="false">
      <c r="B76" s="30" t="s">
        <v>299</v>
      </c>
      <c r="C76" s="94" t="n">
        <f aca="false">C72*'A2 Inputs'!$C$13*(1+'A2 Inputs'!$C$14)^0</f>
        <v>9000000</v>
      </c>
      <c r="D76" s="94" t="n">
        <f aca="false">D72*'A2 Inputs'!$C$13*(1+'A2 Inputs'!$C$14)^1</f>
        <v>11587500</v>
      </c>
      <c r="E76" s="94" t="n">
        <f aca="false">E72*'A2 Inputs'!$C$13*(1+'A2 Inputs'!$C$14)^2</f>
        <v>14918906.25</v>
      </c>
      <c r="F76" s="94" t="n">
        <f aca="false">F72*'A2 Inputs'!$C$13*(1+'A2 Inputs'!$C$14)^3</f>
        <v>19208091.796875</v>
      </c>
      <c r="G76" s="94" t="n">
        <f aca="false">G72*'A2 Inputs'!$C$13*(1+'A2 Inputs'!$C$14)^4</f>
        <v>24730418.1884766</v>
      </c>
      <c r="H76" s="94" t="n">
        <f aca="false">H72*'A2 Inputs'!$C$13*(1+'A2 Inputs'!$C$14)^5</f>
        <v>31840413.4176636</v>
      </c>
      <c r="I76" s="94" t="n">
        <f aca="false">I72*'A2 Inputs'!$C$13*(1+'A2 Inputs'!$C$14)^6</f>
        <v>40994532.2752419</v>
      </c>
    </row>
    <row r="77" customFormat="false" ht="15" hidden="false" customHeight="true" outlineLevel="0" collapsed="false">
      <c r="B77" s="30" t="s">
        <v>300</v>
      </c>
      <c r="C77" s="94" t="n">
        <f aca="false">C72*C75+'A2 Inputs'!$C$17*'A2 Inputs'!$C$23+'A2 Inputs'!$C$17</f>
        <v>46100000</v>
      </c>
      <c r="D77" s="94" t="n">
        <f aca="false">D72*D75+'A2 Inputs'!$C$17*'A2 Inputs'!$C$23</f>
        <v>11146477.9914493</v>
      </c>
      <c r="E77" s="94" t="n">
        <f aca="false">E72*E75+'A2 Inputs'!$C$17*'A2 Inputs'!$C$23</f>
        <v>11723517.4155178</v>
      </c>
      <c r="F77" s="94" t="n">
        <f aca="false">F72*F75+'A2 Inputs'!$C$17*'A2 Inputs'!$C$23</f>
        <v>12594748.4072029</v>
      </c>
      <c r="G77" s="94" t="n">
        <f aca="false">G72*G75+'A2 Inputs'!$C$17*'A2 Inputs'!$C$23</f>
        <v>14391430.7066479</v>
      </c>
      <c r="H77" s="94" t="n">
        <f aca="false">H72*H75+'A2 Inputs'!$C$17*'A2 Inputs'!$C$23</f>
        <v>16594055.6545455</v>
      </c>
      <c r="I77" s="94" t="n">
        <f aca="false">I72*I75+'A2 Inputs'!$C$17*'A2 Inputs'!$C$23</f>
        <v>19268378.5969431</v>
      </c>
    </row>
    <row r="78" customFormat="false" ht="15" hidden="false" customHeight="true" outlineLevel="0" collapsed="false">
      <c r="B78" s="30" t="s">
        <v>301</v>
      </c>
      <c r="C78" s="94" t="n">
        <f aca="false">(C76-C77)/(1+'A2 Inputs'!$C$10)^1</f>
        <v>-33125000</v>
      </c>
      <c r="D78" s="94" t="n">
        <f aca="false">(D76-D77)/(1+'A2 Inputs'!$C$10)^2</f>
        <v>351580.045081909</v>
      </c>
      <c r="E78" s="94" t="n">
        <f aca="false">(E76-E77)/(1+'A2 Inputs'!$C$10)^3</f>
        <v>2274414.65646796</v>
      </c>
      <c r="F78" s="94" t="n">
        <f aca="false">(F76-F77)/(1+'A2 Inputs'!$C$10)^4</f>
        <v>4202899.2828357</v>
      </c>
      <c r="G78" s="94" t="n">
        <f aca="false">(G76-G77)/(1+'A2 Inputs'!$C$10)^5</f>
        <v>5866619.15812798</v>
      </c>
      <c r="H78" s="94" t="n">
        <f aca="false">(H76-H77)/(1+'A2 Inputs'!$C$10)^6</f>
        <v>7724279.32739907</v>
      </c>
      <c r="I78" s="94" t="n">
        <f aca="false">(I76-I77)/(1+'A2 Inputs'!$C$10)^7</f>
        <v>9827808.56866719</v>
      </c>
    </row>
    <row r="80" customFormat="false" ht="15" hidden="false" customHeight="true" outlineLevel="0" collapsed="false">
      <c r="B80" s="70" t="s">
        <v>308</v>
      </c>
      <c r="C80" s="30" t="s">
        <v>288</v>
      </c>
      <c r="D80" s="30" t="s">
        <v>289</v>
      </c>
      <c r="E80" s="30" t="s">
        <v>290</v>
      </c>
      <c r="F80" s="30" t="s">
        <v>291</v>
      </c>
      <c r="G80" s="30" t="s">
        <v>292</v>
      </c>
      <c r="H80" s="30" t="s">
        <v>293</v>
      </c>
      <c r="I80" s="30" t="s">
        <v>294</v>
      </c>
    </row>
    <row r="81" customFormat="false" ht="15" hidden="false" customHeight="true" outlineLevel="0" collapsed="false">
      <c r="B81" s="30" t="s">
        <v>295</v>
      </c>
      <c r="C81" s="94" t="n">
        <f aca="false">3500000*(1+'A2 Inputs'!$C$8)^0</f>
        <v>3500000</v>
      </c>
      <c r="D81" s="94" t="n">
        <f aca="false">3500000*(1+'A2 Inputs'!$C$8)^1</f>
        <v>4375000</v>
      </c>
      <c r="E81" s="94" t="n">
        <f aca="false">3500000*(1+'A2 Inputs'!$C$8)^2</f>
        <v>5468750</v>
      </c>
      <c r="F81" s="94" t="n">
        <f aca="false">3500000*(1+'A2 Inputs'!$C$8)^3</f>
        <v>6835937.5</v>
      </c>
      <c r="G81" s="94" t="n">
        <f aca="false">3500000*(1+'A2 Inputs'!$C$8)^4</f>
        <v>8544921.875</v>
      </c>
      <c r="H81" s="94" t="n">
        <f aca="false">3500000*(1+'A2 Inputs'!$C$8)^5</f>
        <v>10681152.34375</v>
      </c>
      <c r="I81" s="94" t="n">
        <f aca="false">3500000*(1+'A2 Inputs'!$C$8)^6</f>
        <v>13351440.4296875</v>
      </c>
    </row>
    <row r="82" customFormat="false" ht="15" hidden="false" customHeight="true" outlineLevel="0" collapsed="false">
      <c r="B82" s="30" t="s">
        <v>296</v>
      </c>
      <c r="C82" s="94" t="n">
        <f aca="false">3500000*((1+'A2 Inputs'!$C$8)^1-1)/'A2 Inputs'!$C$8</f>
        <v>3500000</v>
      </c>
      <c r="D82" s="94" t="n">
        <f aca="false">3500000*((1+'A2 Inputs'!$C$8)^2-1)/'A2 Inputs'!$C$8</f>
        <v>7875000</v>
      </c>
      <c r="E82" s="94" t="n">
        <f aca="false">3500000*((1+'A2 Inputs'!$C$8)^3-1)/'A2 Inputs'!$C$8</f>
        <v>13343750</v>
      </c>
      <c r="F82" s="94" t="n">
        <f aca="false">3500000*((1+'A2 Inputs'!$C$8)^4-1)/'A2 Inputs'!$C$8</f>
        <v>20179687.5</v>
      </c>
      <c r="G82" s="94" t="n">
        <f aca="false">3500000*((1+'A2 Inputs'!$C$8)^5-1)/'A2 Inputs'!$C$8</f>
        <v>28724609.375</v>
      </c>
      <c r="H82" s="94" t="n">
        <f aca="false">3500000*((1+'A2 Inputs'!$C$8)^6-1)/'A2 Inputs'!$C$8</f>
        <v>39405761.71875</v>
      </c>
      <c r="I82" s="94" t="n">
        <f aca="false">3500000*((1+'A2 Inputs'!$C$8)^7-1)/'A2 Inputs'!$C$8</f>
        <v>52757202.1484375</v>
      </c>
    </row>
    <row r="83" customFormat="false" ht="15" hidden="false" customHeight="true" outlineLevel="0" collapsed="false">
      <c r="B83" s="30" t="s">
        <v>297</v>
      </c>
      <c r="C83" s="94" t="n">
        <f aca="false">'A2 Inputs'!$C$21+('A2 Inputs'!$C$22-'A2 Inputs'!$C$21)*MIN(1,(0)/3)</f>
        <v>0.8</v>
      </c>
      <c r="D83" s="94" t="n">
        <f aca="false">'A2 Inputs'!$C$21+('A2 Inputs'!$C$22-'A2 Inputs'!$C$21)*MIN(1,(1)/3)</f>
        <v>0.856666666666667</v>
      </c>
      <c r="E83" s="94" t="n">
        <f aca="false">'A2 Inputs'!$C$21+('A2 Inputs'!$C$22-'A2 Inputs'!$C$21)*MIN(1,(2)/3)</f>
        <v>0.913333333333333</v>
      </c>
      <c r="F83" s="94" t="n">
        <f aca="false">'A2 Inputs'!$C$21+('A2 Inputs'!$C$22-'A2 Inputs'!$C$21)*MIN(1,(3)/3)</f>
        <v>0.97</v>
      </c>
      <c r="G83" s="94" t="n">
        <f aca="false">'A2 Inputs'!$C$21+('A2 Inputs'!$C$22-'A2 Inputs'!$C$21)*MIN(1,(4)/3)</f>
        <v>0.97</v>
      </c>
      <c r="H83" s="94" t="n">
        <f aca="false">'A2 Inputs'!$C$21+('A2 Inputs'!$C$22-'A2 Inputs'!$C$21)*MIN(1,(5)/3)</f>
        <v>0.97</v>
      </c>
      <c r="I83" s="94" t="n">
        <f aca="false">'A2 Inputs'!$C$21+('A2 Inputs'!$C$22-'A2 Inputs'!$C$21)*MIN(1,(6)/3)</f>
        <v>0.97</v>
      </c>
    </row>
    <row r="84" customFormat="false" ht="15" hidden="false" customHeight="true" outlineLevel="0" collapsed="false">
      <c r="B84" s="30" t="s">
        <v>298</v>
      </c>
      <c r="C84" s="94" t="n">
        <f aca="false">'A2 Inputs'!$C$19*((C82/3500000)^(LOG(0.88,2)))/C83</f>
        <v>4.5</v>
      </c>
      <c r="D84" s="94" t="n">
        <f aca="false">'A2 Inputs'!$C$19*((D82/3500000)^(LOG(0.88,2)))/D83</f>
        <v>3.6185911965797</v>
      </c>
      <c r="E84" s="94" t="n">
        <f aca="false">'A2 Inputs'!$C$19*((E82/3500000)^(LOG(0.88,2)))/E83</f>
        <v>3.07952557296569</v>
      </c>
      <c r="F84" s="94" t="n">
        <f aca="false">'A2 Inputs'!$C$19*((F82/3500000)^(LOG(0.88,2)))/F83</f>
        <v>2.68665559224394</v>
      </c>
      <c r="G84" s="94" t="n">
        <f aca="false">'A2 Inputs'!$C$19*((G82/3500000)^(LOG(0.88,2)))/G83</f>
        <v>2.5172850087215</v>
      </c>
      <c r="H84" s="94" t="n">
        <f aca="false">'A2 Inputs'!$C$19*((H82/3500000)^(LOG(0.88,2)))/H83</f>
        <v>2.37470607844073</v>
      </c>
      <c r="I84" s="94" t="n">
        <f aca="false">'A2 Inputs'!$C$19*((I82/3500000)^(LOG(0.88,2)))/I83</f>
        <v>2.25029371945853</v>
      </c>
    </row>
    <row r="85" customFormat="false" ht="15" hidden="false" customHeight="true" outlineLevel="0" collapsed="false">
      <c r="B85" s="30" t="s">
        <v>299</v>
      </c>
      <c r="C85" s="94" t="n">
        <f aca="false">C81*'A2 Inputs'!$C$13*(1+'A2 Inputs'!$C$14)^0</f>
        <v>15750000</v>
      </c>
      <c r="D85" s="94" t="n">
        <f aca="false">D81*'A2 Inputs'!$C$13*(1+'A2 Inputs'!$C$14)^1</f>
        <v>20278125</v>
      </c>
      <c r="E85" s="94" t="n">
        <f aca="false">E81*'A2 Inputs'!$C$13*(1+'A2 Inputs'!$C$14)^2</f>
        <v>26108085.9375</v>
      </c>
      <c r="F85" s="94" t="n">
        <f aca="false">F81*'A2 Inputs'!$C$13*(1+'A2 Inputs'!$C$14)^3</f>
        <v>33614160.6445313</v>
      </c>
      <c r="G85" s="94" t="n">
        <f aca="false">G81*'A2 Inputs'!$C$13*(1+'A2 Inputs'!$C$14)^4</f>
        <v>43278231.829834</v>
      </c>
      <c r="H85" s="94" t="n">
        <f aca="false">H81*'A2 Inputs'!$C$13*(1+'A2 Inputs'!$C$14)^5</f>
        <v>55720723.4809113</v>
      </c>
      <c r="I85" s="94" t="n">
        <f aca="false">I81*'A2 Inputs'!$C$13*(1+'A2 Inputs'!$C$14)^6</f>
        <v>71740431.4816733</v>
      </c>
    </row>
    <row r="86" customFormat="false" ht="15" hidden="false" customHeight="true" outlineLevel="0" collapsed="false">
      <c r="B86" s="30" t="s">
        <v>300</v>
      </c>
      <c r="C86" s="94" t="n">
        <f aca="false">C81*C84+'A2 Inputs'!$C$17*'A2 Inputs'!$C$23+'A2 Inputs'!$C$17</f>
        <v>52850000</v>
      </c>
      <c r="D86" s="94" t="n">
        <f aca="false">D81*D84+'A2 Inputs'!$C$17*'A2 Inputs'!$C$23</f>
        <v>17931336.4850362</v>
      </c>
      <c r="E86" s="94" t="n">
        <f aca="false">E81*E84+'A2 Inputs'!$C$17*'A2 Inputs'!$C$23</f>
        <v>18941155.4771561</v>
      </c>
      <c r="F86" s="94" t="n">
        <f aca="false">F81*F84+'A2 Inputs'!$C$17*'A2 Inputs'!$C$23</f>
        <v>20465809.7126051</v>
      </c>
      <c r="G86" s="94" t="n">
        <f aca="false">G81*G84+'A2 Inputs'!$C$17*'A2 Inputs'!$C$23</f>
        <v>23610003.7366339</v>
      </c>
      <c r="H86" s="94" t="n">
        <f aca="false">H81*H84+'A2 Inputs'!$C$17*'A2 Inputs'!$C$23</f>
        <v>27464597.3954546</v>
      </c>
      <c r="I86" s="94" t="n">
        <f aca="false">I81*I84+'A2 Inputs'!$C$17*'A2 Inputs'!$C$23</f>
        <v>32144662.5446505</v>
      </c>
    </row>
    <row r="87" customFormat="false" ht="15" hidden="false" customHeight="true" outlineLevel="0" collapsed="false">
      <c r="B87" s="30" t="s">
        <v>301</v>
      </c>
      <c r="C87" s="94" t="n">
        <f aca="false">(C85-C86)/(1+'A2 Inputs'!$C$10)^1</f>
        <v>-33125000</v>
      </c>
      <c r="D87" s="94" t="n">
        <f aca="false">(D85-D86)/(1+'A2 Inputs'!$C$10)^2</f>
        <v>1870845.4360362</v>
      </c>
      <c r="E87" s="94" t="n">
        <f aca="false">(E85-E86)/(1+'A2 Inputs'!$C$10)^3</f>
        <v>5101279.53912506</v>
      </c>
      <c r="F87" s="94" t="n">
        <f aca="false">(F85-F86)/(1+'A2 Inputs'!$C$10)^4</f>
        <v>8356014.71845008</v>
      </c>
      <c r="G87" s="94" t="n">
        <f aca="false">(G85-G86)/(1+'A2 Inputs'!$C$10)^5</f>
        <v>11160280.8244808</v>
      </c>
      <c r="H87" s="94" t="n">
        <f aca="false">(H85-H86)/(1+'A2 Inputs'!$C$10)^6</f>
        <v>14315432.8388027</v>
      </c>
      <c r="I87" s="94" t="n">
        <f aca="false">(I85-I86)/(1+'A2 Inputs'!$C$10)^7</f>
        <v>17911115.0093232</v>
      </c>
    </row>
    <row r="89" customFormat="false" ht="15" hidden="false" customHeight="true" outlineLevel="0" collapsed="false">
      <c r="B89" s="70" t="s">
        <v>309</v>
      </c>
      <c r="C89" s="30" t="s">
        <v>288</v>
      </c>
      <c r="D89" s="30" t="s">
        <v>289</v>
      </c>
      <c r="E89" s="30" t="s">
        <v>290</v>
      </c>
      <c r="F89" s="30" t="s">
        <v>291</v>
      </c>
      <c r="G89" s="30" t="s">
        <v>292</v>
      </c>
      <c r="H89" s="30" t="s">
        <v>293</v>
      </c>
      <c r="I89" s="30" t="s">
        <v>294</v>
      </c>
    </row>
    <row r="90" customFormat="false" ht="15" hidden="false" customHeight="true" outlineLevel="0" collapsed="false">
      <c r="B90" s="30" t="s">
        <v>295</v>
      </c>
      <c r="C90" s="94" t="n">
        <f aca="false">5500000*(1+'A2 Inputs'!$C$8)^0</f>
        <v>5500000</v>
      </c>
      <c r="D90" s="94" t="n">
        <f aca="false">5500000*(1+'A2 Inputs'!$C$8)^1</f>
        <v>6875000</v>
      </c>
      <c r="E90" s="94" t="n">
        <f aca="false">5500000*(1+'A2 Inputs'!$C$8)^2</f>
        <v>8593750</v>
      </c>
      <c r="F90" s="94" t="n">
        <f aca="false">5500000*(1+'A2 Inputs'!$C$8)^3</f>
        <v>10742187.5</v>
      </c>
      <c r="G90" s="94" t="n">
        <f aca="false">5500000*(1+'A2 Inputs'!$C$8)^4</f>
        <v>13427734.375</v>
      </c>
      <c r="H90" s="94" t="n">
        <f aca="false">5500000*(1+'A2 Inputs'!$C$8)^5</f>
        <v>16784667.96875</v>
      </c>
      <c r="I90" s="94" t="n">
        <f aca="false">5500000*(1+'A2 Inputs'!$C$8)^6</f>
        <v>20980834.9609375</v>
      </c>
    </row>
    <row r="91" customFormat="false" ht="15" hidden="false" customHeight="true" outlineLevel="0" collapsed="false">
      <c r="B91" s="30" t="s">
        <v>296</v>
      </c>
      <c r="C91" s="94" t="n">
        <f aca="false">5500000*((1+'A2 Inputs'!$C$8)^1-1)/'A2 Inputs'!$C$8</f>
        <v>5500000</v>
      </c>
      <c r="D91" s="94" t="n">
        <f aca="false">5500000*((1+'A2 Inputs'!$C$8)^2-1)/'A2 Inputs'!$C$8</f>
        <v>12375000</v>
      </c>
      <c r="E91" s="94" t="n">
        <f aca="false">5500000*((1+'A2 Inputs'!$C$8)^3-1)/'A2 Inputs'!$C$8</f>
        <v>20968750</v>
      </c>
      <c r="F91" s="94" t="n">
        <f aca="false">5500000*((1+'A2 Inputs'!$C$8)^4-1)/'A2 Inputs'!$C$8</f>
        <v>31710937.5</v>
      </c>
      <c r="G91" s="94" t="n">
        <f aca="false">5500000*((1+'A2 Inputs'!$C$8)^5-1)/'A2 Inputs'!$C$8</f>
        <v>45138671.875</v>
      </c>
      <c r="H91" s="94" t="n">
        <f aca="false">5500000*((1+'A2 Inputs'!$C$8)^6-1)/'A2 Inputs'!$C$8</f>
        <v>61923339.84375</v>
      </c>
      <c r="I91" s="94" t="n">
        <f aca="false">5500000*((1+'A2 Inputs'!$C$8)^7-1)/'A2 Inputs'!$C$8</f>
        <v>82904174.8046875</v>
      </c>
    </row>
    <row r="92" customFormat="false" ht="15" hidden="false" customHeight="true" outlineLevel="0" collapsed="false">
      <c r="B92" s="30" t="s">
        <v>297</v>
      </c>
      <c r="C92" s="94" t="n">
        <f aca="false">'A2 Inputs'!$C$21+('A2 Inputs'!$C$22-'A2 Inputs'!$C$21)*MIN(1,(0)/3)</f>
        <v>0.8</v>
      </c>
      <c r="D92" s="94" t="n">
        <f aca="false">'A2 Inputs'!$C$21+('A2 Inputs'!$C$22-'A2 Inputs'!$C$21)*MIN(1,(1)/3)</f>
        <v>0.856666666666667</v>
      </c>
      <c r="E92" s="94" t="n">
        <f aca="false">'A2 Inputs'!$C$21+('A2 Inputs'!$C$22-'A2 Inputs'!$C$21)*MIN(1,(2)/3)</f>
        <v>0.913333333333333</v>
      </c>
      <c r="F92" s="94" t="n">
        <f aca="false">'A2 Inputs'!$C$21+('A2 Inputs'!$C$22-'A2 Inputs'!$C$21)*MIN(1,(3)/3)</f>
        <v>0.97</v>
      </c>
      <c r="G92" s="94" t="n">
        <f aca="false">'A2 Inputs'!$C$21+('A2 Inputs'!$C$22-'A2 Inputs'!$C$21)*MIN(1,(4)/3)</f>
        <v>0.97</v>
      </c>
      <c r="H92" s="94" t="n">
        <f aca="false">'A2 Inputs'!$C$21+('A2 Inputs'!$C$22-'A2 Inputs'!$C$21)*MIN(1,(5)/3)</f>
        <v>0.97</v>
      </c>
      <c r="I92" s="94" t="n">
        <f aca="false">'A2 Inputs'!$C$21+('A2 Inputs'!$C$22-'A2 Inputs'!$C$21)*MIN(1,(6)/3)</f>
        <v>0.97</v>
      </c>
    </row>
    <row r="93" customFormat="false" ht="15" hidden="false" customHeight="true" outlineLevel="0" collapsed="false">
      <c r="B93" s="30" t="s">
        <v>298</v>
      </c>
      <c r="C93" s="94" t="n">
        <f aca="false">'A2 Inputs'!$C$19*((C91/5500000)^(LOG(0.88,2)))/C92</f>
        <v>4.5</v>
      </c>
      <c r="D93" s="94" t="n">
        <f aca="false">'A2 Inputs'!$C$19*((D91/5500000)^(LOG(0.88,2)))/D92</f>
        <v>3.6185911965797</v>
      </c>
      <c r="E93" s="94" t="n">
        <f aca="false">'A2 Inputs'!$C$19*((E91/5500000)^(LOG(0.88,2)))/E92</f>
        <v>3.07952557296569</v>
      </c>
      <c r="F93" s="94" t="n">
        <f aca="false">'A2 Inputs'!$C$19*((F91/5500000)^(LOG(0.88,2)))/F92</f>
        <v>2.68665559224394</v>
      </c>
      <c r="G93" s="94" t="n">
        <f aca="false">'A2 Inputs'!$C$19*((G91/5500000)^(LOG(0.88,2)))/G92</f>
        <v>2.5172850087215</v>
      </c>
      <c r="H93" s="94" t="n">
        <f aca="false">'A2 Inputs'!$C$19*((H91/5500000)^(LOG(0.88,2)))/H92</f>
        <v>2.37470607844073</v>
      </c>
      <c r="I93" s="94" t="n">
        <f aca="false">'A2 Inputs'!$C$19*((I91/5500000)^(LOG(0.88,2)))/I92</f>
        <v>2.25029371945853</v>
      </c>
    </row>
    <row r="94" customFormat="false" ht="15" hidden="false" customHeight="true" outlineLevel="0" collapsed="false">
      <c r="B94" s="30" t="s">
        <v>299</v>
      </c>
      <c r="C94" s="94" t="n">
        <f aca="false">C90*'A2 Inputs'!$C$13*(1+'A2 Inputs'!$C$14)^0</f>
        <v>24750000</v>
      </c>
      <c r="D94" s="94" t="n">
        <f aca="false">D90*'A2 Inputs'!$C$13*(1+'A2 Inputs'!$C$14)^1</f>
        <v>31865625</v>
      </c>
      <c r="E94" s="94" t="n">
        <f aca="false">E90*'A2 Inputs'!$C$13*(1+'A2 Inputs'!$C$14)^2</f>
        <v>41026992.1875</v>
      </c>
      <c r="F94" s="94" t="n">
        <f aca="false">F90*'A2 Inputs'!$C$13*(1+'A2 Inputs'!$C$14)^3</f>
        <v>52822252.4414063</v>
      </c>
      <c r="G94" s="94" t="n">
        <f aca="false">G90*'A2 Inputs'!$C$13*(1+'A2 Inputs'!$C$14)^4</f>
        <v>68008650.0183106</v>
      </c>
      <c r="H94" s="94" t="n">
        <f aca="false">H90*'A2 Inputs'!$C$13*(1+'A2 Inputs'!$C$14)^5</f>
        <v>87561136.8985748</v>
      </c>
      <c r="I94" s="94" t="n">
        <f aca="false">I90*'A2 Inputs'!$C$13*(1+'A2 Inputs'!$C$14)^6</f>
        <v>112734963.756915</v>
      </c>
    </row>
    <row r="95" customFormat="false" ht="15" hidden="false" customHeight="true" outlineLevel="0" collapsed="false">
      <c r="B95" s="30" t="s">
        <v>300</v>
      </c>
      <c r="C95" s="94" t="n">
        <f aca="false">C90*C93+'A2 Inputs'!$C$17*'A2 Inputs'!$C$23+'A2 Inputs'!$C$17</f>
        <v>61850000</v>
      </c>
      <c r="D95" s="94" t="n">
        <f aca="false">D90*D93+'A2 Inputs'!$C$17*'A2 Inputs'!$C$23</f>
        <v>26977814.4764854</v>
      </c>
      <c r="E95" s="94" t="n">
        <f aca="false">E90*E93+'A2 Inputs'!$C$17*'A2 Inputs'!$C$23</f>
        <v>28564672.8926739</v>
      </c>
      <c r="F95" s="94" t="n">
        <f aca="false">F90*F93+'A2 Inputs'!$C$17*'A2 Inputs'!$C$23</f>
        <v>30960558.119808</v>
      </c>
      <c r="G95" s="94" t="n">
        <f aca="false">G90*G93+'A2 Inputs'!$C$17*'A2 Inputs'!$C$23</f>
        <v>35901434.4432818</v>
      </c>
      <c r="H95" s="94" t="n">
        <f aca="false">H90*H93+'A2 Inputs'!$C$17*'A2 Inputs'!$C$23</f>
        <v>41958653.05</v>
      </c>
      <c r="I95" s="94" t="n">
        <f aca="false">I90*I93+'A2 Inputs'!$C$17*'A2 Inputs'!$C$23</f>
        <v>49313041.1415936</v>
      </c>
    </row>
    <row r="96" customFormat="false" ht="15" hidden="false" customHeight="true" outlineLevel="0" collapsed="false">
      <c r="B96" s="30" t="s">
        <v>301</v>
      </c>
      <c r="C96" s="94" t="n">
        <f aca="false">(C94-C95)/(1+'A2 Inputs'!$C$10)^1</f>
        <v>-33125000</v>
      </c>
      <c r="D96" s="94" t="n">
        <f aca="false">(D94-D95)/(1+'A2 Inputs'!$C$10)^2</f>
        <v>3896532.62397525</v>
      </c>
      <c r="E96" s="94" t="n">
        <f aca="false">(E94-E95)/(1+'A2 Inputs'!$C$10)^3</f>
        <v>8870432.71600118</v>
      </c>
      <c r="F96" s="94" t="n">
        <f aca="false">(F94-F95)/(1+'A2 Inputs'!$C$10)^4</f>
        <v>13893501.9659359</v>
      </c>
      <c r="G96" s="94" t="n">
        <f aca="false">(G94-G95)/(1+'A2 Inputs'!$C$10)^5</f>
        <v>18218496.3796178</v>
      </c>
      <c r="H96" s="94" t="n">
        <f aca="false">(H94-H95)/(1+'A2 Inputs'!$C$10)^6</f>
        <v>23103637.5206741</v>
      </c>
      <c r="I96" s="94" t="n">
        <f aca="false">(I94-I95)/(1+'A2 Inputs'!$C$10)^7</f>
        <v>28688856.9301979</v>
      </c>
    </row>
    <row r="98" customFormat="false" ht="15" hidden="false" customHeight="true" outlineLevel="0" collapsed="false">
      <c r="B98" s="70" t="s">
        <v>310</v>
      </c>
      <c r="C98" s="30" t="s">
        <v>288</v>
      </c>
      <c r="D98" s="30" t="s">
        <v>289</v>
      </c>
      <c r="E98" s="30" t="s">
        <v>290</v>
      </c>
      <c r="F98" s="30" t="s">
        <v>291</v>
      </c>
      <c r="G98" s="30" t="s">
        <v>292</v>
      </c>
      <c r="H98" s="30" t="s">
        <v>293</v>
      </c>
      <c r="I98" s="30" t="s">
        <v>294</v>
      </c>
    </row>
    <row r="99" customFormat="false" ht="15" hidden="false" customHeight="true" outlineLevel="0" collapsed="false">
      <c r="B99" s="30" t="s">
        <v>295</v>
      </c>
      <c r="C99" s="94" t="n">
        <f aca="false">8000000*(1+'A2 Inputs'!$C$8)^0</f>
        <v>8000000</v>
      </c>
      <c r="D99" s="94" t="n">
        <f aca="false">8000000*(1+'A2 Inputs'!$C$8)^1</f>
        <v>10000000</v>
      </c>
      <c r="E99" s="94" t="n">
        <f aca="false">8000000*(1+'A2 Inputs'!$C$8)^2</f>
        <v>12500000</v>
      </c>
      <c r="F99" s="94" t="n">
        <f aca="false">8000000*(1+'A2 Inputs'!$C$8)^3</f>
        <v>15625000</v>
      </c>
      <c r="G99" s="94" t="n">
        <f aca="false">8000000*(1+'A2 Inputs'!$C$8)^4</f>
        <v>19531250</v>
      </c>
      <c r="H99" s="94" t="n">
        <f aca="false">8000000*(1+'A2 Inputs'!$C$8)^5</f>
        <v>24414062.5</v>
      </c>
      <c r="I99" s="94" t="n">
        <f aca="false">8000000*(1+'A2 Inputs'!$C$8)^6</f>
        <v>30517578.125</v>
      </c>
    </row>
    <row r="100" customFormat="false" ht="15" hidden="false" customHeight="true" outlineLevel="0" collapsed="false">
      <c r="B100" s="30" t="s">
        <v>296</v>
      </c>
      <c r="C100" s="94" t="n">
        <f aca="false">8000000*((1+'A2 Inputs'!$C$8)^1-1)/'A2 Inputs'!$C$8</f>
        <v>8000000</v>
      </c>
      <c r="D100" s="94" t="n">
        <f aca="false">8000000*((1+'A2 Inputs'!$C$8)^2-1)/'A2 Inputs'!$C$8</f>
        <v>18000000</v>
      </c>
      <c r="E100" s="94" t="n">
        <f aca="false">8000000*((1+'A2 Inputs'!$C$8)^3-1)/'A2 Inputs'!$C$8</f>
        <v>30500000</v>
      </c>
      <c r="F100" s="94" t="n">
        <f aca="false">8000000*((1+'A2 Inputs'!$C$8)^4-1)/'A2 Inputs'!$C$8</f>
        <v>46125000</v>
      </c>
      <c r="G100" s="94" t="n">
        <f aca="false">8000000*((1+'A2 Inputs'!$C$8)^5-1)/'A2 Inputs'!$C$8</f>
        <v>65656250</v>
      </c>
      <c r="H100" s="94" t="n">
        <f aca="false">8000000*((1+'A2 Inputs'!$C$8)^6-1)/'A2 Inputs'!$C$8</f>
        <v>90070312.5</v>
      </c>
      <c r="I100" s="94" t="n">
        <f aca="false">8000000*((1+'A2 Inputs'!$C$8)^7-1)/'A2 Inputs'!$C$8</f>
        <v>120587890.625</v>
      </c>
    </row>
    <row r="101" customFormat="false" ht="15" hidden="false" customHeight="true" outlineLevel="0" collapsed="false">
      <c r="B101" s="30" t="s">
        <v>297</v>
      </c>
      <c r="C101" s="94" t="n">
        <f aca="false">'A2 Inputs'!$C$21+('A2 Inputs'!$C$22-'A2 Inputs'!$C$21)*MIN(1,(0)/3)</f>
        <v>0.8</v>
      </c>
      <c r="D101" s="94" t="n">
        <f aca="false">'A2 Inputs'!$C$21+('A2 Inputs'!$C$22-'A2 Inputs'!$C$21)*MIN(1,(1)/3)</f>
        <v>0.856666666666667</v>
      </c>
      <c r="E101" s="94" t="n">
        <f aca="false">'A2 Inputs'!$C$21+('A2 Inputs'!$C$22-'A2 Inputs'!$C$21)*MIN(1,(2)/3)</f>
        <v>0.913333333333333</v>
      </c>
      <c r="F101" s="94" t="n">
        <f aca="false">'A2 Inputs'!$C$21+('A2 Inputs'!$C$22-'A2 Inputs'!$C$21)*MIN(1,(3)/3)</f>
        <v>0.97</v>
      </c>
      <c r="G101" s="94" t="n">
        <f aca="false">'A2 Inputs'!$C$21+('A2 Inputs'!$C$22-'A2 Inputs'!$C$21)*MIN(1,(4)/3)</f>
        <v>0.97</v>
      </c>
      <c r="H101" s="94" t="n">
        <f aca="false">'A2 Inputs'!$C$21+('A2 Inputs'!$C$22-'A2 Inputs'!$C$21)*MIN(1,(5)/3)</f>
        <v>0.97</v>
      </c>
      <c r="I101" s="94" t="n">
        <f aca="false">'A2 Inputs'!$C$21+('A2 Inputs'!$C$22-'A2 Inputs'!$C$21)*MIN(1,(6)/3)</f>
        <v>0.97</v>
      </c>
    </row>
    <row r="102" customFormat="false" ht="15" hidden="false" customHeight="true" outlineLevel="0" collapsed="false">
      <c r="B102" s="30" t="s">
        <v>298</v>
      </c>
      <c r="C102" s="94" t="n">
        <f aca="false">'A2 Inputs'!$C$19*((C100/8000000)^(LOG(0.88,2)))/C101</f>
        <v>4.5</v>
      </c>
      <c r="D102" s="94" t="n">
        <f aca="false">'A2 Inputs'!$C$19*((D100/8000000)^(LOG(0.88,2)))/D101</f>
        <v>3.6185911965797</v>
      </c>
      <c r="E102" s="94" t="n">
        <f aca="false">'A2 Inputs'!$C$19*((E100/8000000)^(LOG(0.88,2)))/E101</f>
        <v>3.07952557296569</v>
      </c>
      <c r="F102" s="94" t="n">
        <f aca="false">'A2 Inputs'!$C$19*((F100/8000000)^(LOG(0.88,2)))/F101</f>
        <v>2.68665559224394</v>
      </c>
      <c r="G102" s="94" t="n">
        <f aca="false">'A2 Inputs'!$C$19*((G100/8000000)^(LOG(0.88,2)))/G101</f>
        <v>2.5172850087215</v>
      </c>
      <c r="H102" s="94" t="n">
        <f aca="false">'A2 Inputs'!$C$19*((H100/8000000)^(LOG(0.88,2)))/H101</f>
        <v>2.37470607844073</v>
      </c>
      <c r="I102" s="94" t="n">
        <f aca="false">'A2 Inputs'!$C$19*((I100/8000000)^(LOG(0.88,2)))/I101</f>
        <v>2.25029371945853</v>
      </c>
    </row>
    <row r="103" customFormat="false" ht="15" hidden="false" customHeight="true" outlineLevel="0" collapsed="false">
      <c r="B103" s="30" t="s">
        <v>299</v>
      </c>
      <c r="C103" s="94" t="n">
        <f aca="false">C99*'A2 Inputs'!$C$13*(1+'A2 Inputs'!$C$14)^0</f>
        <v>36000000</v>
      </c>
      <c r="D103" s="94" t="n">
        <f aca="false">D99*'A2 Inputs'!$C$13*(1+'A2 Inputs'!$C$14)^1</f>
        <v>46350000</v>
      </c>
      <c r="E103" s="94" t="n">
        <f aca="false">E99*'A2 Inputs'!$C$13*(1+'A2 Inputs'!$C$14)^2</f>
        <v>59675625</v>
      </c>
      <c r="F103" s="94" t="n">
        <f aca="false">F99*'A2 Inputs'!$C$13*(1+'A2 Inputs'!$C$14)^3</f>
        <v>76832367.1875</v>
      </c>
      <c r="G103" s="94" t="n">
        <f aca="false">G99*'A2 Inputs'!$C$13*(1+'A2 Inputs'!$C$14)^4</f>
        <v>98921672.7539063</v>
      </c>
      <c r="H103" s="94" t="n">
        <f aca="false">H99*'A2 Inputs'!$C$13*(1+'A2 Inputs'!$C$14)^5</f>
        <v>127361653.670654</v>
      </c>
      <c r="I103" s="94" t="n">
        <f aca="false">I99*'A2 Inputs'!$C$13*(1+'A2 Inputs'!$C$14)^6</f>
        <v>163978129.100967</v>
      </c>
    </row>
    <row r="104" customFormat="false" ht="15" hidden="false" customHeight="true" outlineLevel="0" collapsed="false">
      <c r="B104" s="30" t="s">
        <v>300</v>
      </c>
      <c r="C104" s="94" t="n">
        <f aca="false">C99*C102+'A2 Inputs'!$C$17*'A2 Inputs'!$C$23+'A2 Inputs'!$C$17</f>
        <v>73100000</v>
      </c>
      <c r="D104" s="94" t="n">
        <f aca="false">D99*D102+'A2 Inputs'!$C$17*'A2 Inputs'!$C$23</f>
        <v>38285911.965797</v>
      </c>
      <c r="E104" s="94" t="n">
        <f aca="false">E99*E102+'A2 Inputs'!$C$17*'A2 Inputs'!$C$23</f>
        <v>40594069.6620711</v>
      </c>
      <c r="F104" s="94" t="n">
        <f aca="false">F99*F102+'A2 Inputs'!$C$17*'A2 Inputs'!$C$23</f>
        <v>44078993.6288116</v>
      </c>
      <c r="G104" s="94" t="n">
        <f aca="false">G99*G102+'A2 Inputs'!$C$17*'A2 Inputs'!$C$23</f>
        <v>51265722.8265917</v>
      </c>
      <c r="H104" s="94" t="n">
        <f aca="false">H99*H102+'A2 Inputs'!$C$17*'A2 Inputs'!$C$23</f>
        <v>60076222.6181819</v>
      </c>
      <c r="I104" s="94" t="n">
        <f aca="false">I99*I102+'A2 Inputs'!$C$17*'A2 Inputs'!$C$23</f>
        <v>70773514.3877725</v>
      </c>
    </row>
    <row r="105" customFormat="false" ht="15" hidden="false" customHeight="true" outlineLevel="0" collapsed="false">
      <c r="B105" s="30" t="s">
        <v>301</v>
      </c>
      <c r="C105" s="94" t="n">
        <f aca="false">(C103-C104)/(1+'A2 Inputs'!$C$10)^1</f>
        <v>-33125000</v>
      </c>
      <c r="D105" s="94" t="n">
        <f aca="false">(D103-D104)/(1+'A2 Inputs'!$C$10)^2</f>
        <v>6428641.60889906</v>
      </c>
      <c r="E105" s="94" t="n">
        <f aca="false">(E103-E104)/(1+'A2 Inputs'!$C$10)^3</f>
        <v>13581874.1870963</v>
      </c>
      <c r="F105" s="94" t="n">
        <f aca="false">(F103-F104)/(1+'A2 Inputs'!$C$10)^4</f>
        <v>20815361.0252932</v>
      </c>
      <c r="G105" s="94" t="n">
        <f aca="false">(G103-G104)/(1+'A2 Inputs'!$C$10)^5</f>
        <v>27041265.8235391</v>
      </c>
      <c r="H105" s="94" t="n">
        <f aca="false">(H103-H104)/(1+'A2 Inputs'!$C$10)^6</f>
        <v>34088893.3730134</v>
      </c>
      <c r="I105" s="94" t="n">
        <f aca="false">(I103-I104)/(1+'A2 Inputs'!$C$10)^7</f>
        <v>42161034.3312912</v>
      </c>
    </row>
    <row r="107" customFormat="false" ht="15" hidden="false" customHeight="true" outlineLevel="0" collapsed="false">
      <c r="B107" s="70" t="s">
        <v>311</v>
      </c>
      <c r="C107" s="30" t="s">
        <v>288</v>
      </c>
      <c r="D107" s="30" t="s">
        <v>289</v>
      </c>
      <c r="E107" s="30" t="s">
        <v>290</v>
      </c>
      <c r="F107" s="30" t="s">
        <v>291</v>
      </c>
      <c r="G107" s="30" t="s">
        <v>292</v>
      </c>
      <c r="H107" s="30" t="s">
        <v>293</v>
      </c>
      <c r="I107" s="30" t="s">
        <v>294</v>
      </c>
    </row>
    <row r="108" customFormat="false" ht="15" hidden="false" customHeight="true" outlineLevel="0" collapsed="false">
      <c r="B108" s="30" t="s">
        <v>295</v>
      </c>
      <c r="C108" s="94" t="n">
        <f aca="false">1000000*(1+'A2 Inputs'!$C$8)^0</f>
        <v>1000000</v>
      </c>
      <c r="D108" s="94" t="n">
        <f aca="false">1000000*(1+'A2 Inputs'!$C$8)^1</f>
        <v>1250000</v>
      </c>
      <c r="E108" s="94" t="n">
        <f aca="false">1000000*(1+'A2 Inputs'!$C$8)^2</f>
        <v>1562500</v>
      </c>
      <c r="F108" s="94" t="n">
        <f aca="false">1000000*(1+'A2 Inputs'!$C$8)^3</f>
        <v>1953125</v>
      </c>
      <c r="G108" s="94" t="n">
        <f aca="false">1000000*(1+'A2 Inputs'!$C$8)^4</f>
        <v>2441406.25</v>
      </c>
      <c r="H108" s="94" t="n">
        <f aca="false">1000000*(1+'A2 Inputs'!$C$8)^5</f>
        <v>3051757.8125</v>
      </c>
      <c r="I108" s="94" t="n">
        <f aca="false">1000000*(1+'A2 Inputs'!$C$8)^6</f>
        <v>3814697.265625</v>
      </c>
    </row>
    <row r="109" customFormat="false" ht="15" hidden="false" customHeight="true" outlineLevel="0" collapsed="false">
      <c r="B109" s="30" t="s">
        <v>296</v>
      </c>
      <c r="C109" s="94" t="n">
        <f aca="false">1000000*((1+'A2 Inputs'!$C$8)^1-1)/'A2 Inputs'!$C$8</f>
        <v>1000000</v>
      </c>
      <c r="D109" s="94" t="n">
        <f aca="false">1000000*((1+'A2 Inputs'!$C$8)^2-1)/'A2 Inputs'!$C$8</f>
        <v>2250000</v>
      </c>
      <c r="E109" s="94" t="n">
        <f aca="false">1000000*((1+'A2 Inputs'!$C$8)^3-1)/'A2 Inputs'!$C$8</f>
        <v>3812500</v>
      </c>
      <c r="F109" s="94" t="n">
        <f aca="false">1000000*((1+'A2 Inputs'!$C$8)^4-1)/'A2 Inputs'!$C$8</f>
        <v>5765625</v>
      </c>
      <c r="G109" s="94" t="n">
        <f aca="false">1000000*((1+'A2 Inputs'!$C$8)^5-1)/'A2 Inputs'!$C$8</f>
        <v>8207031.25</v>
      </c>
      <c r="H109" s="94" t="n">
        <f aca="false">1000000*((1+'A2 Inputs'!$C$8)^6-1)/'A2 Inputs'!$C$8</f>
        <v>11258789.0625</v>
      </c>
      <c r="I109" s="94" t="n">
        <f aca="false">1000000*((1+'A2 Inputs'!$C$8)^7-1)/'A2 Inputs'!$C$8</f>
        <v>15073486.328125</v>
      </c>
    </row>
    <row r="110" customFormat="false" ht="15" hidden="false" customHeight="true" outlineLevel="0" collapsed="false">
      <c r="B110" s="30" t="s">
        <v>297</v>
      </c>
      <c r="C110" s="94" t="n">
        <f aca="false">'A2 Inputs'!$C$21+('A2 Inputs'!$C$22-'A2 Inputs'!$C$21)*MIN(1,(0)/3)</f>
        <v>0.8</v>
      </c>
      <c r="D110" s="94" t="n">
        <f aca="false">'A2 Inputs'!$C$21+('A2 Inputs'!$C$22-'A2 Inputs'!$C$21)*MIN(1,(1)/3)</f>
        <v>0.856666666666667</v>
      </c>
      <c r="E110" s="94" t="n">
        <f aca="false">'A2 Inputs'!$C$21+('A2 Inputs'!$C$22-'A2 Inputs'!$C$21)*MIN(1,(2)/3)</f>
        <v>0.913333333333333</v>
      </c>
      <c r="F110" s="94" t="n">
        <f aca="false">'A2 Inputs'!$C$21+('A2 Inputs'!$C$22-'A2 Inputs'!$C$21)*MIN(1,(3)/3)</f>
        <v>0.97</v>
      </c>
      <c r="G110" s="94" t="n">
        <f aca="false">'A2 Inputs'!$C$21+('A2 Inputs'!$C$22-'A2 Inputs'!$C$21)*MIN(1,(4)/3)</f>
        <v>0.97</v>
      </c>
      <c r="H110" s="94" t="n">
        <f aca="false">'A2 Inputs'!$C$21+('A2 Inputs'!$C$22-'A2 Inputs'!$C$21)*MIN(1,(5)/3)</f>
        <v>0.97</v>
      </c>
      <c r="I110" s="94" t="n">
        <f aca="false">'A2 Inputs'!$C$21+('A2 Inputs'!$C$22-'A2 Inputs'!$C$21)*MIN(1,(6)/3)</f>
        <v>0.97</v>
      </c>
    </row>
    <row r="111" customFormat="false" ht="15" hidden="false" customHeight="true" outlineLevel="0" collapsed="false">
      <c r="B111" s="30" t="s">
        <v>298</v>
      </c>
      <c r="C111" s="94" t="n">
        <f aca="false">'A2 Inputs'!$C$19*((C109/1000000)^(LOG(0.85,2)))/C110</f>
        <v>4.5</v>
      </c>
      <c r="D111" s="94" t="n">
        <f aca="false">'A2 Inputs'!$C$19*((D109/1000000)^(LOG(0.85,2)))/D110</f>
        <v>3.47469003471779</v>
      </c>
      <c r="E111" s="94" t="n">
        <f aca="false">'A2 Inputs'!$C$19*((E109/1000000)^(LOG(0.85,2)))/E110</f>
        <v>2.88004767689451</v>
      </c>
      <c r="F111" s="94" t="n">
        <f aca="false">'A2 Inputs'!$C$19*((F109/1000000)^(LOG(0.85,2)))/F110</f>
        <v>2.46115363070866</v>
      </c>
      <c r="G111" s="94" t="n">
        <f aca="false">'A2 Inputs'!$C$19*((G109/1000000)^(LOG(0.85,2)))/G110</f>
        <v>2.26561386461288</v>
      </c>
      <c r="H111" s="94" t="n">
        <f aca="false">'A2 Inputs'!$C$19*((H109/1000000)^(LOG(0.85,2)))/H110</f>
        <v>2.10374212101107</v>
      </c>
      <c r="I111" s="94" t="n">
        <f aca="false">'A2 Inputs'!$C$19*((I109/1000000)^(LOG(0.85,2)))/I110</f>
        <v>1.96462917833725</v>
      </c>
    </row>
    <row r="112" customFormat="false" ht="15" hidden="false" customHeight="true" outlineLevel="0" collapsed="false">
      <c r="B112" s="30" t="s">
        <v>299</v>
      </c>
      <c r="C112" s="94" t="n">
        <f aca="false">C108*'A2 Inputs'!$C$13*(1+'A2 Inputs'!$C$14)^0</f>
        <v>4500000</v>
      </c>
      <c r="D112" s="94" t="n">
        <f aca="false">D108*'A2 Inputs'!$C$13*(1+'A2 Inputs'!$C$14)^1</f>
        <v>5793750</v>
      </c>
      <c r="E112" s="94" t="n">
        <f aca="false">E108*'A2 Inputs'!$C$13*(1+'A2 Inputs'!$C$14)^2</f>
        <v>7459453.125</v>
      </c>
      <c r="F112" s="94" t="n">
        <f aca="false">F108*'A2 Inputs'!$C$13*(1+'A2 Inputs'!$C$14)^3</f>
        <v>9604045.8984375</v>
      </c>
      <c r="G112" s="94" t="n">
        <f aca="false">G108*'A2 Inputs'!$C$13*(1+'A2 Inputs'!$C$14)^4</f>
        <v>12365209.0942383</v>
      </c>
      <c r="H112" s="94" t="n">
        <f aca="false">H108*'A2 Inputs'!$C$13*(1+'A2 Inputs'!$C$14)^5</f>
        <v>15920206.7088318</v>
      </c>
      <c r="I112" s="94" t="n">
        <f aca="false">I108*'A2 Inputs'!$C$13*(1+'A2 Inputs'!$C$14)^6</f>
        <v>20497266.1376209</v>
      </c>
    </row>
    <row r="113" customFormat="false" ht="15" hidden="false" customHeight="true" outlineLevel="0" collapsed="false">
      <c r="B113" s="30" t="s">
        <v>300</v>
      </c>
      <c r="C113" s="94" t="n">
        <f aca="false">C108*C111+'A2 Inputs'!$C$17*'A2 Inputs'!$C$23+'A2 Inputs'!$C$17</f>
        <v>41600000</v>
      </c>
      <c r="D113" s="94" t="n">
        <f aca="false">D108*D111+'A2 Inputs'!$C$17*'A2 Inputs'!$C$23</f>
        <v>6443362.54339724</v>
      </c>
      <c r="E113" s="94" t="n">
        <f aca="false">E108*E111+'A2 Inputs'!$C$17*'A2 Inputs'!$C$23</f>
        <v>6600074.49514767</v>
      </c>
      <c r="F113" s="94" t="n">
        <f aca="false">F108*F111+'A2 Inputs'!$C$17*'A2 Inputs'!$C$23</f>
        <v>6906940.68497784</v>
      </c>
      <c r="G113" s="94" t="n">
        <f aca="false">G108*G111+'A2 Inputs'!$C$17*'A2 Inputs'!$C$23</f>
        <v>7631283.84915253</v>
      </c>
      <c r="H113" s="94" t="n">
        <f aca="false">H108*H111+'A2 Inputs'!$C$17*'A2 Inputs'!$C$23</f>
        <v>8520111.45328084</v>
      </c>
      <c r="I113" s="94" t="n">
        <f aca="false">I108*I111+'A2 Inputs'!$C$17*'A2 Inputs'!$C$23</f>
        <v>9594465.55457018</v>
      </c>
    </row>
    <row r="114" customFormat="false" ht="15" hidden="false" customHeight="true" outlineLevel="0" collapsed="false">
      <c r="B114" s="30" t="s">
        <v>301</v>
      </c>
      <c r="C114" s="94" t="n">
        <f aca="false">(C112-C113)/(1+'A2 Inputs'!$C$10)^1</f>
        <v>-33125000</v>
      </c>
      <c r="D114" s="94" t="n">
        <f aca="false">(D112-D113)/(1+'A2 Inputs'!$C$10)^2</f>
        <v>-517867.142376627</v>
      </c>
      <c r="E114" s="94" t="n">
        <f aca="false">(E112-E113)/(1+'A2 Inputs'!$C$10)^3</f>
        <v>611688.73412184</v>
      </c>
      <c r="F114" s="94" t="n">
        <f aca="false">(F112-F113)/(1+'A2 Inputs'!$C$10)^4</f>
        <v>1714059.12251353</v>
      </c>
      <c r="G114" s="94" t="n">
        <f aca="false">(G112-G113)/(1+'A2 Inputs'!$C$10)^5</f>
        <v>2686156.31702591</v>
      </c>
      <c r="H114" s="94" t="n">
        <f aca="false">(H112-H113)/(1+'A2 Inputs'!$C$10)^6</f>
        <v>3749118.55613875</v>
      </c>
      <c r="I114" s="94" t="n">
        <f aca="false">(I112-I113)/(1+'A2 Inputs'!$C$10)^7</f>
        <v>4931873.28871763</v>
      </c>
    </row>
    <row r="116" customFormat="false" ht="15" hidden="false" customHeight="true" outlineLevel="0" collapsed="false">
      <c r="B116" s="70" t="s">
        <v>312</v>
      </c>
      <c r="C116" s="30" t="s">
        <v>288</v>
      </c>
      <c r="D116" s="30" t="s">
        <v>289</v>
      </c>
      <c r="E116" s="30" t="s">
        <v>290</v>
      </c>
      <c r="F116" s="30" t="s">
        <v>291</v>
      </c>
      <c r="G116" s="30" t="s">
        <v>292</v>
      </c>
      <c r="H116" s="30" t="s">
        <v>293</v>
      </c>
      <c r="I116" s="30" t="s">
        <v>294</v>
      </c>
    </row>
    <row r="117" customFormat="false" ht="15" hidden="false" customHeight="true" outlineLevel="0" collapsed="false">
      <c r="B117" s="30" t="s">
        <v>295</v>
      </c>
      <c r="C117" s="94" t="n">
        <f aca="false">2000000*(1+'A2 Inputs'!$C$8)^0</f>
        <v>2000000</v>
      </c>
      <c r="D117" s="94" t="n">
        <f aca="false">2000000*(1+'A2 Inputs'!$C$8)^1</f>
        <v>2500000</v>
      </c>
      <c r="E117" s="94" t="n">
        <f aca="false">2000000*(1+'A2 Inputs'!$C$8)^2</f>
        <v>3125000</v>
      </c>
      <c r="F117" s="94" t="n">
        <f aca="false">2000000*(1+'A2 Inputs'!$C$8)^3</f>
        <v>3906250</v>
      </c>
      <c r="G117" s="94" t="n">
        <f aca="false">2000000*(1+'A2 Inputs'!$C$8)^4</f>
        <v>4882812.5</v>
      </c>
      <c r="H117" s="94" t="n">
        <f aca="false">2000000*(1+'A2 Inputs'!$C$8)^5</f>
        <v>6103515.625</v>
      </c>
      <c r="I117" s="94" t="n">
        <f aca="false">2000000*(1+'A2 Inputs'!$C$8)^6</f>
        <v>7629394.53125</v>
      </c>
    </row>
    <row r="118" customFormat="false" ht="15" hidden="false" customHeight="true" outlineLevel="0" collapsed="false">
      <c r="B118" s="30" t="s">
        <v>296</v>
      </c>
      <c r="C118" s="94" t="n">
        <f aca="false">2000000*((1+'A2 Inputs'!$C$8)^1-1)/'A2 Inputs'!$C$8</f>
        <v>2000000</v>
      </c>
      <c r="D118" s="94" t="n">
        <f aca="false">2000000*((1+'A2 Inputs'!$C$8)^2-1)/'A2 Inputs'!$C$8</f>
        <v>4500000</v>
      </c>
      <c r="E118" s="94" t="n">
        <f aca="false">2000000*((1+'A2 Inputs'!$C$8)^3-1)/'A2 Inputs'!$C$8</f>
        <v>7625000</v>
      </c>
      <c r="F118" s="94" t="n">
        <f aca="false">2000000*((1+'A2 Inputs'!$C$8)^4-1)/'A2 Inputs'!$C$8</f>
        <v>11531250</v>
      </c>
      <c r="G118" s="94" t="n">
        <f aca="false">2000000*((1+'A2 Inputs'!$C$8)^5-1)/'A2 Inputs'!$C$8</f>
        <v>16414062.5</v>
      </c>
      <c r="H118" s="94" t="n">
        <f aca="false">2000000*((1+'A2 Inputs'!$C$8)^6-1)/'A2 Inputs'!$C$8</f>
        <v>22517578.125</v>
      </c>
      <c r="I118" s="94" t="n">
        <f aca="false">2000000*((1+'A2 Inputs'!$C$8)^7-1)/'A2 Inputs'!$C$8</f>
        <v>30146972.65625</v>
      </c>
    </row>
    <row r="119" customFormat="false" ht="15" hidden="false" customHeight="true" outlineLevel="0" collapsed="false">
      <c r="B119" s="30" t="s">
        <v>297</v>
      </c>
      <c r="C119" s="94" t="n">
        <f aca="false">'A2 Inputs'!$C$21+('A2 Inputs'!$C$22-'A2 Inputs'!$C$21)*MIN(1,(0)/3)</f>
        <v>0.8</v>
      </c>
      <c r="D119" s="94" t="n">
        <f aca="false">'A2 Inputs'!$C$21+('A2 Inputs'!$C$22-'A2 Inputs'!$C$21)*MIN(1,(1)/3)</f>
        <v>0.856666666666667</v>
      </c>
      <c r="E119" s="94" t="n">
        <f aca="false">'A2 Inputs'!$C$21+('A2 Inputs'!$C$22-'A2 Inputs'!$C$21)*MIN(1,(2)/3)</f>
        <v>0.913333333333333</v>
      </c>
      <c r="F119" s="94" t="n">
        <f aca="false">'A2 Inputs'!$C$21+('A2 Inputs'!$C$22-'A2 Inputs'!$C$21)*MIN(1,(3)/3)</f>
        <v>0.97</v>
      </c>
      <c r="G119" s="94" t="n">
        <f aca="false">'A2 Inputs'!$C$21+('A2 Inputs'!$C$22-'A2 Inputs'!$C$21)*MIN(1,(4)/3)</f>
        <v>0.97</v>
      </c>
      <c r="H119" s="94" t="n">
        <f aca="false">'A2 Inputs'!$C$21+('A2 Inputs'!$C$22-'A2 Inputs'!$C$21)*MIN(1,(5)/3)</f>
        <v>0.97</v>
      </c>
      <c r="I119" s="94" t="n">
        <f aca="false">'A2 Inputs'!$C$21+('A2 Inputs'!$C$22-'A2 Inputs'!$C$21)*MIN(1,(6)/3)</f>
        <v>0.97</v>
      </c>
    </row>
    <row r="120" customFormat="false" ht="15" hidden="false" customHeight="true" outlineLevel="0" collapsed="false">
      <c r="B120" s="30" t="s">
        <v>298</v>
      </c>
      <c r="C120" s="94" t="n">
        <f aca="false">'A2 Inputs'!$C$19*((C118/2000000)^(LOG(0.85,2)))/C119</f>
        <v>4.5</v>
      </c>
      <c r="D120" s="94" t="n">
        <f aca="false">'A2 Inputs'!$C$19*((D118/2000000)^(LOG(0.85,2)))/D119</f>
        <v>3.47469003471779</v>
      </c>
      <c r="E120" s="94" t="n">
        <f aca="false">'A2 Inputs'!$C$19*((E118/2000000)^(LOG(0.85,2)))/E119</f>
        <v>2.88004767689451</v>
      </c>
      <c r="F120" s="94" t="n">
        <f aca="false">'A2 Inputs'!$C$19*((F118/2000000)^(LOG(0.85,2)))/F119</f>
        <v>2.46115363070866</v>
      </c>
      <c r="G120" s="94" t="n">
        <f aca="false">'A2 Inputs'!$C$19*((G118/2000000)^(LOG(0.85,2)))/G119</f>
        <v>2.26561386461288</v>
      </c>
      <c r="H120" s="94" t="n">
        <f aca="false">'A2 Inputs'!$C$19*((H118/2000000)^(LOG(0.85,2)))/H119</f>
        <v>2.10374212101107</v>
      </c>
      <c r="I120" s="94" t="n">
        <f aca="false">'A2 Inputs'!$C$19*((I118/2000000)^(LOG(0.85,2)))/I119</f>
        <v>1.96462917833725</v>
      </c>
    </row>
    <row r="121" customFormat="false" ht="15" hidden="false" customHeight="true" outlineLevel="0" collapsed="false">
      <c r="B121" s="30" t="s">
        <v>299</v>
      </c>
      <c r="C121" s="94" t="n">
        <f aca="false">C117*'A2 Inputs'!$C$13*(1+'A2 Inputs'!$C$14)^0</f>
        <v>9000000</v>
      </c>
      <c r="D121" s="94" t="n">
        <f aca="false">D117*'A2 Inputs'!$C$13*(1+'A2 Inputs'!$C$14)^1</f>
        <v>11587500</v>
      </c>
      <c r="E121" s="94" t="n">
        <f aca="false">E117*'A2 Inputs'!$C$13*(1+'A2 Inputs'!$C$14)^2</f>
        <v>14918906.25</v>
      </c>
      <c r="F121" s="94" t="n">
        <f aca="false">F117*'A2 Inputs'!$C$13*(1+'A2 Inputs'!$C$14)^3</f>
        <v>19208091.796875</v>
      </c>
      <c r="G121" s="94" t="n">
        <f aca="false">G117*'A2 Inputs'!$C$13*(1+'A2 Inputs'!$C$14)^4</f>
        <v>24730418.1884766</v>
      </c>
      <c r="H121" s="94" t="n">
        <f aca="false">H117*'A2 Inputs'!$C$13*(1+'A2 Inputs'!$C$14)^5</f>
        <v>31840413.4176636</v>
      </c>
      <c r="I121" s="94" t="n">
        <f aca="false">I117*'A2 Inputs'!$C$13*(1+'A2 Inputs'!$C$14)^6</f>
        <v>40994532.2752419</v>
      </c>
    </row>
    <row r="122" customFormat="false" ht="15" hidden="false" customHeight="true" outlineLevel="0" collapsed="false">
      <c r="B122" s="30" t="s">
        <v>300</v>
      </c>
      <c r="C122" s="94" t="n">
        <f aca="false">C117*C120+'A2 Inputs'!$C$17*'A2 Inputs'!$C$23+'A2 Inputs'!$C$17</f>
        <v>46100000</v>
      </c>
      <c r="D122" s="94" t="n">
        <f aca="false">D117*D120+'A2 Inputs'!$C$17*'A2 Inputs'!$C$23</f>
        <v>10786725.0867945</v>
      </c>
      <c r="E122" s="94" t="n">
        <f aca="false">E117*E120+'A2 Inputs'!$C$17*'A2 Inputs'!$C$23</f>
        <v>11100148.9902953</v>
      </c>
      <c r="F122" s="94" t="n">
        <f aca="false">F117*F120+'A2 Inputs'!$C$17*'A2 Inputs'!$C$23</f>
        <v>11713881.3699557</v>
      </c>
      <c r="G122" s="94" t="n">
        <f aca="false">G117*G120+'A2 Inputs'!$C$17*'A2 Inputs'!$C$23</f>
        <v>13162567.6983051</v>
      </c>
      <c r="H122" s="94" t="n">
        <f aca="false">H117*H120+'A2 Inputs'!$C$17*'A2 Inputs'!$C$23</f>
        <v>14940222.9065617</v>
      </c>
      <c r="I122" s="94" t="n">
        <f aca="false">I117*I120+'A2 Inputs'!$C$17*'A2 Inputs'!$C$23</f>
        <v>17088931.1091404</v>
      </c>
    </row>
    <row r="123" customFormat="false" ht="15" hidden="false" customHeight="true" outlineLevel="0" collapsed="false">
      <c r="B123" s="30" t="s">
        <v>301</v>
      </c>
      <c r="C123" s="94" t="n">
        <f aca="false">(C121-C122)/(1+'A2 Inputs'!$C$10)^1</f>
        <v>-33125000</v>
      </c>
      <c r="D123" s="94" t="n">
        <f aca="false">(D121-D122)/(1+'A2 Inputs'!$C$10)^2</f>
        <v>638372.85810389</v>
      </c>
      <c r="E123" s="94" t="n">
        <f aca="false">(E121-E122)/(1+'A2 Inputs'!$C$10)^3</f>
        <v>2718115.98865184</v>
      </c>
      <c r="F123" s="94" t="n">
        <f aca="false">(F121-F122)/(1+'A2 Inputs'!$C$10)^4</f>
        <v>4762706.20967721</v>
      </c>
      <c r="G123" s="94" t="n">
        <f aca="false">(G121-G122)/(1+'A2 Inputs'!$C$10)^5</f>
        <v>6563909.03106088</v>
      </c>
      <c r="H123" s="94" t="n">
        <f aca="false">(H121-H122)/(1+'A2 Inputs'!$C$10)^6</f>
        <v>8562162.46674987</v>
      </c>
      <c r="I123" s="94" t="n">
        <f aca="false">(I121-I122)/(1+'A2 Inputs'!$C$10)^7</f>
        <v>10813679.9296427</v>
      </c>
    </row>
    <row r="125" customFormat="false" ht="15" hidden="false" customHeight="true" outlineLevel="0" collapsed="false">
      <c r="B125" s="70" t="s">
        <v>313</v>
      </c>
      <c r="C125" s="30" t="s">
        <v>288</v>
      </c>
      <c r="D125" s="30" t="s">
        <v>289</v>
      </c>
      <c r="E125" s="30" t="s">
        <v>290</v>
      </c>
      <c r="F125" s="30" t="s">
        <v>291</v>
      </c>
      <c r="G125" s="30" t="s">
        <v>292</v>
      </c>
      <c r="H125" s="30" t="s">
        <v>293</v>
      </c>
      <c r="I125" s="30" t="s">
        <v>294</v>
      </c>
    </row>
    <row r="126" customFormat="false" ht="15" hidden="false" customHeight="true" outlineLevel="0" collapsed="false">
      <c r="B126" s="30" t="s">
        <v>295</v>
      </c>
      <c r="C126" s="94" t="n">
        <f aca="false">3500000*(1+'A2 Inputs'!$C$8)^0</f>
        <v>3500000</v>
      </c>
      <c r="D126" s="94" t="n">
        <f aca="false">3500000*(1+'A2 Inputs'!$C$8)^1</f>
        <v>4375000</v>
      </c>
      <c r="E126" s="94" t="n">
        <f aca="false">3500000*(1+'A2 Inputs'!$C$8)^2</f>
        <v>5468750</v>
      </c>
      <c r="F126" s="94" t="n">
        <f aca="false">3500000*(1+'A2 Inputs'!$C$8)^3</f>
        <v>6835937.5</v>
      </c>
      <c r="G126" s="94" t="n">
        <f aca="false">3500000*(1+'A2 Inputs'!$C$8)^4</f>
        <v>8544921.875</v>
      </c>
      <c r="H126" s="94" t="n">
        <f aca="false">3500000*(1+'A2 Inputs'!$C$8)^5</f>
        <v>10681152.34375</v>
      </c>
      <c r="I126" s="94" t="n">
        <f aca="false">3500000*(1+'A2 Inputs'!$C$8)^6</f>
        <v>13351440.4296875</v>
      </c>
    </row>
    <row r="127" customFormat="false" ht="15" hidden="false" customHeight="true" outlineLevel="0" collapsed="false">
      <c r="B127" s="30" t="s">
        <v>296</v>
      </c>
      <c r="C127" s="94" t="n">
        <f aca="false">3500000*((1+'A2 Inputs'!$C$8)^1-1)/'A2 Inputs'!$C$8</f>
        <v>3500000</v>
      </c>
      <c r="D127" s="94" t="n">
        <f aca="false">3500000*((1+'A2 Inputs'!$C$8)^2-1)/'A2 Inputs'!$C$8</f>
        <v>7875000</v>
      </c>
      <c r="E127" s="94" t="n">
        <f aca="false">3500000*((1+'A2 Inputs'!$C$8)^3-1)/'A2 Inputs'!$C$8</f>
        <v>13343750</v>
      </c>
      <c r="F127" s="94" t="n">
        <f aca="false">3500000*((1+'A2 Inputs'!$C$8)^4-1)/'A2 Inputs'!$C$8</f>
        <v>20179687.5</v>
      </c>
      <c r="G127" s="94" t="n">
        <f aca="false">3500000*((1+'A2 Inputs'!$C$8)^5-1)/'A2 Inputs'!$C$8</f>
        <v>28724609.375</v>
      </c>
      <c r="H127" s="94" t="n">
        <f aca="false">3500000*((1+'A2 Inputs'!$C$8)^6-1)/'A2 Inputs'!$C$8</f>
        <v>39405761.71875</v>
      </c>
      <c r="I127" s="94" t="n">
        <f aca="false">3500000*((1+'A2 Inputs'!$C$8)^7-1)/'A2 Inputs'!$C$8</f>
        <v>52757202.1484375</v>
      </c>
    </row>
    <row r="128" customFormat="false" ht="15" hidden="false" customHeight="true" outlineLevel="0" collapsed="false">
      <c r="B128" s="30" t="s">
        <v>297</v>
      </c>
      <c r="C128" s="94" t="n">
        <f aca="false">'A2 Inputs'!$C$21+('A2 Inputs'!$C$22-'A2 Inputs'!$C$21)*MIN(1,(0)/3)</f>
        <v>0.8</v>
      </c>
      <c r="D128" s="94" t="n">
        <f aca="false">'A2 Inputs'!$C$21+('A2 Inputs'!$C$22-'A2 Inputs'!$C$21)*MIN(1,(1)/3)</f>
        <v>0.856666666666667</v>
      </c>
      <c r="E128" s="94" t="n">
        <f aca="false">'A2 Inputs'!$C$21+('A2 Inputs'!$C$22-'A2 Inputs'!$C$21)*MIN(1,(2)/3)</f>
        <v>0.913333333333333</v>
      </c>
      <c r="F128" s="94" t="n">
        <f aca="false">'A2 Inputs'!$C$21+('A2 Inputs'!$C$22-'A2 Inputs'!$C$21)*MIN(1,(3)/3)</f>
        <v>0.97</v>
      </c>
      <c r="G128" s="94" t="n">
        <f aca="false">'A2 Inputs'!$C$21+('A2 Inputs'!$C$22-'A2 Inputs'!$C$21)*MIN(1,(4)/3)</f>
        <v>0.97</v>
      </c>
      <c r="H128" s="94" t="n">
        <f aca="false">'A2 Inputs'!$C$21+('A2 Inputs'!$C$22-'A2 Inputs'!$C$21)*MIN(1,(5)/3)</f>
        <v>0.97</v>
      </c>
      <c r="I128" s="94" t="n">
        <f aca="false">'A2 Inputs'!$C$21+('A2 Inputs'!$C$22-'A2 Inputs'!$C$21)*MIN(1,(6)/3)</f>
        <v>0.97</v>
      </c>
    </row>
    <row r="129" customFormat="false" ht="15" hidden="false" customHeight="true" outlineLevel="0" collapsed="false">
      <c r="B129" s="30" t="s">
        <v>298</v>
      </c>
      <c r="C129" s="94" t="n">
        <f aca="false">'A2 Inputs'!$C$19*((C127/3500000)^(LOG(0.85,2)))/C128</f>
        <v>4.5</v>
      </c>
      <c r="D129" s="94" t="n">
        <f aca="false">'A2 Inputs'!$C$19*((D127/3500000)^(LOG(0.85,2)))/D128</f>
        <v>3.47469003471779</v>
      </c>
      <c r="E129" s="94" t="n">
        <f aca="false">'A2 Inputs'!$C$19*((E127/3500000)^(LOG(0.85,2)))/E128</f>
        <v>2.88004767689451</v>
      </c>
      <c r="F129" s="94" t="n">
        <f aca="false">'A2 Inputs'!$C$19*((F127/3500000)^(LOG(0.85,2)))/F128</f>
        <v>2.46115363070866</v>
      </c>
      <c r="G129" s="94" t="n">
        <f aca="false">'A2 Inputs'!$C$19*((G127/3500000)^(LOG(0.85,2)))/G128</f>
        <v>2.26561386461288</v>
      </c>
      <c r="H129" s="94" t="n">
        <f aca="false">'A2 Inputs'!$C$19*((H127/3500000)^(LOG(0.85,2)))/H128</f>
        <v>2.10374212101107</v>
      </c>
      <c r="I129" s="94" t="n">
        <f aca="false">'A2 Inputs'!$C$19*((I127/3500000)^(LOG(0.85,2)))/I128</f>
        <v>1.96462917833725</v>
      </c>
    </row>
    <row r="130" customFormat="false" ht="15" hidden="false" customHeight="true" outlineLevel="0" collapsed="false">
      <c r="B130" s="30" t="s">
        <v>299</v>
      </c>
      <c r="C130" s="94" t="n">
        <f aca="false">C126*'A2 Inputs'!$C$13*(1+'A2 Inputs'!$C$14)^0</f>
        <v>15750000</v>
      </c>
      <c r="D130" s="94" t="n">
        <f aca="false">D126*'A2 Inputs'!$C$13*(1+'A2 Inputs'!$C$14)^1</f>
        <v>20278125</v>
      </c>
      <c r="E130" s="94" t="n">
        <f aca="false">E126*'A2 Inputs'!$C$13*(1+'A2 Inputs'!$C$14)^2</f>
        <v>26108085.9375</v>
      </c>
      <c r="F130" s="94" t="n">
        <f aca="false">F126*'A2 Inputs'!$C$13*(1+'A2 Inputs'!$C$14)^3</f>
        <v>33614160.6445313</v>
      </c>
      <c r="G130" s="94" t="n">
        <f aca="false">G126*'A2 Inputs'!$C$13*(1+'A2 Inputs'!$C$14)^4</f>
        <v>43278231.829834</v>
      </c>
      <c r="H130" s="94" t="n">
        <f aca="false">H126*'A2 Inputs'!$C$13*(1+'A2 Inputs'!$C$14)^5</f>
        <v>55720723.4809113</v>
      </c>
      <c r="I130" s="94" t="n">
        <f aca="false">I126*'A2 Inputs'!$C$13*(1+'A2 Inputs'!$C$14)^6</f>
        <v>71740431.4816733</v>
      </c>
    </row>
    <row r="131" customFormat="false" ht="15" hidden="false" customHeight="true" outlineLevel="0" collapsed="false">
      <c r="B131" s="30" t="s">
        <v>300</v>
      </c>
      <c r="C131" s="94" t="n">
        <f aca="false">C126*C129+'A2 Inputs'!$C$17*'A2 Inputs'!$C$23+'A2 Inputs'!$C$17</f>
        <v>52850000</v>
      </c>
      <c r="D131" s="94" t="n">
        <f aca="false">D126*D129+'A2 Inputs'!$C$17*'A2 Inputs'!$C$23</f>
        <v>17301768.9018903</v>
      </c>
      <c r="E131" s="94" t="n">
        <f aca="false">E126*E129+'A2 Inputs'!$C$17*'A2 Inputs'!$C$23</f>
        <v>17850260.7330169</v>
      </c>
      <c r="F131" s="94" t="n">
        <f aca="false">F126*F129+'A2 Inputs'!$C$17*'A2 Inputs'!$C$23</f>
        <v>18924292.3974224</v>
      </c>
      <c r="G131" s="94" t="n">
        <f aca="false">G126*G129+'A2 Inputs'!$C$17*'A2 Inputs'!$C$23</f>
        <v>21459493.4720339</v>
      </c>
      <c r="H131" s="94" t="n">
        <f aca="false">H126*H129+'A2 Inputs'!$C$17*'A2 Inputs'!$C$23</f>
        <v>24570390.0864829</v>
      </c>
      <c r="I131" s="94" t="n">
        <f aca="false">I126*I129+'A2 Inputs'!$C$17*'A2 Inputs'!$C$23</f>
        <v>28330629.4409956</v>
      </c>
    </row>
    <row r="132" customFormat="false" ht="15" hidden="false" customHeight="true" outlineLevel="0" collapsed="false">
      <c r="B132" s="30" t="s">
        <v>301</v>
      </c>
      <c r="C132" s="94" t="n">
        <f aca="false">(C130-C131)/(1+'A2 Inputs'!$C$10)^1</f>
        <v>-33125000</v>
      </c>
      <c r="D132" s="94" t="n">
        <f aca="false">(D130-D131)/(1+'A2 Inputs'!$C$10)^2</f>
        <v>2372732.85882466</v>
      </c>
      <c r="E132" s="94" t="n">
        <f aca="false">(E130-E131)/(1+'A2 Inputs'!$C$10)^3</f>
        <v>5877756.87044685</v>
      </c>
      <c r="F132" s="94" t="n">
        <f aca="false">(F130-F131)/(1+'A2 Inputs'!$C$10)^4</f>
        <v>9335676.84042273</v>
      </c>
      <c r="G132" s="94" t="n">
        <f aca="false">(G130-G131)/(1+'A2 Inputs'!$C$10)^5</f>
        <v>12380538.1021133</v>
      </c>
      <c r="H132" s="94" t="n">
        <f aca="false">(H130-H131)/(1+'A2 Inputs'!$C$10)^6</f>
        <v>15781728.3326665</v>
      </c>
      <c r="I132" s="94" t="n">
        <f aca="false">(I130-I131)/(1+'A2 Inputs'!$C$10)^7</f>
        <v>19636389.8910304</v>
      </c>
    </row>
    <row r="134" customFormat="false" ht="15" hidden="false" customHeight="true" outlineLevel="0" collapsed="false">
      <c r="B134" s="70" t="s">
        <v>314</v>
      </c>
      <c r="C134" s="30" t="s">
        <v>288</v>
      </c>
      <c r="D134" s="30" t="s">
        <v>289</v>
      </c>
      <c r="E134" s="30" t="s">
        <v>290</v>
      </c>
      <c r="F134" s="30" t="s">
        <v>291</v>
      </c>
      <c r="G134" s="30" t="s">
        <v>292</v>
      </c>
      <c r="H134" s="30" t="s">
        <v>293</v>
      </c>
      <c r="I134" s="30" t="s">
        <v>294</v>
      </c>
    </row>
    <row r="135" customFormat="false" ht="15" hidden="false" customHeight="true" outlineLevel="0" collapsed="false">
      <c r="B135" s="30" t="s">
        <v>295</v>
      </c>
      <c r="C135" s="94" t="n">
        <f aca="false">5500000*(1+'A2 Inputs'!$C$8)^0</f>
        <v>5500000</v>
      </c>
      <c r="D135" s="94" t="n">
        <f aca="false">5500000*(1+'A2 Inputs'!$C$8)^1</f>
        <v>6875000</v>
      </c>
      <c r="E135" s="94" t="n">
        <f aca="false">5500000*(1+'A2 Inputs'!$C$8)^2</f>
        <v>8593750</v>
      </c>
      <c r="F135" s="94" t="n">
        <f aca="false">5500000*(1+'A2 Inputs'!$C$8)^3</f>
        <v>10742187.5</v>
      </c>
      <c r="G135" s="94" t="n">
        <f aca="false">5500000*(1+'A2 Inputs'!$C$8)^4</f>
        <v>13427734.375</v>
      </c>
      <c r="H135" s="94" t="n">
        <f aca="false">5500000*(1+'A2 Inputs'!$C$8)^5</f>
        <v>16784667.96875</v>
      </c>
      <c r="I135" s="94" t="n">
        <f aca="false">5500000*(1+'A2 Inputs'!$C$8)^6</f>
        <v>20980834.9609375</v>
      </c>
    </row>
    <row r="136" customFormat="false" ht="15" hidden="false" customHeight="true" outlineLevel="0" collapsed="false">
      <c r="B136" s="30" t="s">
        <v>296</v>
      </c>
      <c r="C136" s="94" t="n">
        <f aca="false">5500000*((1+'A2 Inputs'!$C$8)^1-1)/'A2 Inputs'!$C$8</f>
        <v>5500000</v>
      </c>
      <c r="D136" s="94" t="n">
        <f aca="false">5500000*((1+'A2 Inputs'!$C$8)^2-1)/'A2 Inputs'!$C$8</f>
        <v>12375000</v>
      </c>
      <c r="E136" s="94" t="n">
        <f aca="false">5500000*((1+'A2 Inputs'!$C$8)^3-1)/'A2 Inputs'!$C$8</f>
        <v>20968750</v>
      </c>
      <c r="F136" s="94" t="n">
        <f aca="false">5500000*((1+'A2 Inputs'!$C$8)^4-1)/'A2 Inputs'!$C$8</f>
        <v>31710937.5</v>
      </c>
      <c r="G136" s="94" t="n">
        <f aca="false">5500000*((1+'A2 Inputs'!$C$8)^5-1)/'A2 Inputs'!$C$8</f>
        <v>45138671.875</v>
      </c>
      <c r="H136" s="94" t="n">
        <f aca="false">5500000*((1+'A2 Inputs'!$C$8)^6-1)/'A2 Inputs'!$C$8</f>
        <v>61923339.84375</v>
      </c>
      <c r="I136" s="94" t="n">
        <f aca="false">5500000*((1+'A2 Inputs'!$C$8)^7-1)/'A2 Inputs'!$C$8</f>
        <v>82904174.8046875</v>
      </c>
    </row>
    <row r="137" customFormat="false" ht="15" hidden="false" customHeight="true" outlineLevel="0" collapsed="false">
      <c r="B137" s="30" t="s">
        <v>297</v>
      </c>
      <c r="C137" s="94" t="n">
        <f aca="false">'A2 Inputs'!$C$21+('A2 Inputs'!$C$22-'A2 Inputs'!$C$21)*MIN(1,(0)/3)</f>
        <v>0.8</v>
      </c>
      <c r="D137" s="94" t="n">
        <f aca="false">'A2 Inputs'!$C$21+('A2 Inputs'!$C$22-'A2 Inputs'!$C$21)*MIN(1,(1)/3)</f>
        <v>0.856666666666667</v>
      </c>
      <c r="E137" s="94" t="n">
        <f aca="false">'A2 Inputs'!$C$21+('A2 Inputs'!$C$22-'A2 Inputs'!$C$21)*MIN(1,(2)/3)</f>
        <v>0.913333333333333</v>
      </c>
      <c r="F137" s="94" t="n">
        <f aca="false">'A2 Inputs'!$C$21+('A2 Inputs'!$C$22-'A2 Inputs'!$C$21)*MIN(1,(3)/3)</f>
        <v>0.97</v>
      </c>
      <c r="G137" s="94" t="n">
        <f aca="false">'A2 Inputs'!$C$21+('A2 Inputs'!$C$22-'A2 Inputs'!$C$21)*MIN(1,(4)/3)</f>
        <v>0.97</v>
      </c>
      <c r="H137" s="94" t="n">
        <f aca="false">'A2 Inputs'!$C$21+('A2 Inputs'!$C$22-'A2 Inputs'!$C$21)*MIN(1,(5)/3)</f>
        <v>0.97</v>
      </c>
      <c r="I137" s="94" t="n">
        <f aca="false">'A2 Inputs'!$C$21+('A2 Inputs'!$C$22-'A2 Inputs'!$C$21)*MIN(1,(6)/3)</f>
        <v>0.97</v>
      </c>
    </row>
    <row r="138" customFormat="false" ht="15" hidden="false" customHeight="true" outlineLevel="0" collapsed="false">
      <c r="B138" s="30" t="s">
        <v>298</v>
      </c>
      <c r="C138" s="94" t="n">
        <f aca="false">'A2 Inputs'!$C$19*((C136/5500000)^(LOG(0.85,2)))/C137</f>
        <v>4.5</v>
      </c>
      <c r="D138" s="94" t="n">
        <f aca="false">'A2 Inputs'!$C$19*((D136/5500000)^(LOG(0.85,2)))/D137</f>
        <v>3.47469003471779</v>
      </c>
      <c r="E138" s="94" t="n">
        <f aca="false">'A2 Inputs'!$C$19*((E136/5500000)^(LOG(0.85,2)))/E137</f>
        <v>2.88004767689451</v>
      </c>
      <c r="F138" s="94" t="n">
        <f aca="false">'A2 Inputs'!$C$19*((F136/5500000)^(LOG(0.85,2)))/F137</f>
        <v>2.46115363070866</v>
      </c>
      <c r="G138" s="94" t="n">
        <f aca="false">'A2 Inputs'!$C$19*((G136/5500000)^(LOG(0.85,2)))/G137</f>
        <v>2.26561386461288</v>
      </c>
      <c r="H138" s="94" t="n">
        <f aca="false">'A2 Inputs'!$C$19*((H136/5500000)^(LOG(0.85,2)))/H137</f>
        <v>2.10374212101107</v>
      </c>
      <c r="I138" s="94" t="n">
        <f aca="false">'A2 Inputs'!$C$19*((I136/5500000)^(LOG(0.85,2)))/I137</f>
        <v>1.96462917833725</v>
      </c>
    </row>
    <row r="139" customFormat="false" ht="15" hidden="false" customHeight="true" outlineLevel="0" collapsed="false">
      <c r="B139" s="30" t="s">
        <v>299</v>
      </c>
      <c r="C139" s="94" t="n">
        <f aca="false">C135*'A2 Inputs'!$C$13*(1+'A2 Inputs'!$C$14)^0</f>
        <v>24750000</v>
      </c>
      <c r="D139" s="94" t="n">
        <f aca="false">D135*'A2 Inputs'!$C$13*(1+'A2 Inputs'!$C$14)^1</f>
        <v>31865625</v>
      </c>
      <c r="E139" s="94" t="n">
        <f aca="false">E135*'A2 Inputs'!$C$13*(1+'A2 Inputs'!$C$14)^2</f>
        <v>41026992.1875</v>
      </c>
      <c r="F139" s="94" t="n">
        <f aca="false">F135*'A2 Inputs'!$C$13*(1+'A2 Inputs'!$C$14)^3</f>
        <v>52822252.4414063</v>
      </c>
      <c r="G139" s="94" t="n">
        <f aca="false">G135*'A2 Inputs'!$C$13*(1+'A2 Inputs'!$C$14)^4</f>
        <v>68008650.0183106</v>
      </c>
      <c r="H139" s="94" t="n">
        <f aca="false">H135*'A2 Inputs'!$C$13*(1+'A2 Inputs'!$C$14)^5</f>
        <v>87561136.8985748</v>
      </c>
      <c r="I139" s="94" t="n">
        <f aca="false">I135*'A2 Inputs'!$C$13*(1+'A2 Inputs'!$C$14)^6</f>
        <v>112734963.756915</v>
      </c>
    </row>
    <row r="140" customFormat="false" ht="15" hidden="false" customHeight="true" outlineLevel="0" collapsed="false">
      <c r="B140" s="30" t="s">
        <v>300</v>
      </c>
      <c r="C140" s="94" t="n">
        <f aca="false">C135*C138+'A2 Inputs'!$C$17*'A2 Inputs'!$C$23+'A2 Inputs'!$C$17</f>
        <v>61850000</v>
      </c>
      <c r="D140" s="94" t="n">
        <f aca="false">D135*D138+'A2 Inputs'!$C$17*'A2 Inputs'!$C$23</f>
        <v>25988493.9886848</v>
      </c>
      <c r="E140" s="94" t="n">
        <f aca="false">E135*E138+'A2 Inputs'!$C$17*'A2 Inputs'!$C$23</f>
        <v>26850409.7233122</v>
      </c>
      <c r="F140" s="94" t="n">
        <f aca="false">F135*F138+'A2 Inputs'!$C$17*'A2 Inputs'!$C$23</f>
        <v>28538173.7673781</v>
      </c>
      <c r="G140" s="94" t="n">
        <f aca="false">G135*G138+'A2 Inputs'!$C$17*'A2 Inputs'!$C$23</f>
        <v>32522061.1703389</v>
      </c>
      <c r="H140" s="94" t="n">
        <f aca="false">H135*H138+'A2 Inputs'!$C$17*'A2 Inputs'!$C$23</f>
        <v>37410612.9930446</v>
      </c>
      <c r="I140" s="94" t="n">
        <f aca="false">I135*I138+'A2 Inputs'!$C$17*'A2 Inputs'!$C$23</f>
        <v>43319560.550136</v>
      </c>
    </row>
    <row r="141" customFormat="false" ht="15" hidden="false" customHeight="true" outlineLevel="0" collapsed="false">
      <c r="B141" s="30" t="s">
        <v>301</v>
      </c>
      <c r="C141" s="94" t="n">
        <f aca="false">(C139-C140)/(1+'A2 Inputs'!$C$10)^1</f>
        <v>-33125000</v>
      </c>
      <c r="D141" s="94" t="n">
        <f aca="false">(D139-D140)/(1+'A2 Inputs'!$C$10)^2</f>
        <v>4685212.8597857</v>
      </c>
      <c r="E141" s="94" t="n">
        <f aca="false">(E139-E140)/(1+'A2 Inputs'!$C$10)^3</f>
        <v>10090611.3795069</v>
      </c>
      <c r="F141" s="94" t="n">
        <f aca="false">(F139-F140)/(1+'A2 Inputs'!$C$10)^4</f>
        <v>15432971.0147501</v>
      </c>
      <c r="G141" s="94" t="n">
        <f aca="false">(G139-G140)/(1+'A2 Inputs'!$C$10)^5</f>
        <v>20136043.5301833</v>
      </c>
      <c r="H141" s="94" t="n">
        <f aca="false">(H139-H140)/(1+'A2 Inputs'!$C$10)^6</f>
        <v>25407816.1538888</v>
      </c>
      <c r="I141" s="94" t="n">
        <f aca="false">(I139-I140)/(1+'A2 Inputs'!$C$10)^7</f>
        <v>31400003.1728806</v>
      </c>
    </row>
    <row r="143" customFormat="false" ht="15" hidden="false" customHeight="true" outlineLevel="0" collapsed="false">
      <c r="B143" s="70" t="s">
        <v>315</v>
      </c>
      <c r="C143" s="30" t="s">
        <v>288</v>
      </c>
      <c r="D143" s="30" t="s">
        <v>289</v>
      </c>
      <c r="E143" s="30" t="s">
        <v>290</v>
      </c>
      <c r="F143" s="30" t="s">
        <v>291</v>
      </c>
      <c r="G143" s="30" t="s">
        <v>292</v>
      </c>
      <c r="H143" s="30" t="s">
        <v>293</v>
      </c>
      <c r="I143" s="30" t="s">
        <v>294</v>
      </c>
    </row>
    <row r="144" customFormat="false" ht="15" hidden="false" customHeight="true" outlineLevel="0" collapsed="false">
      <c r="B144" s="30" t="s">
        <v>295</v>
      </c>
      <c r="C144" s="94" t="n">
        <f aca="false">8000000*(1+'A2 Inputs'!$C$8)^0</f>
        <v>8000000</v>
      </c>
      <c r="D144" s="94" t="n">
        <f aca="false">8000000*(1+'A2 Inputs'!$C$8)^1</f>
        <v>10000000</v>
      </c>
      <c r="E144" s="94" t="n">
        <f aca="false">8000000*(1+'A2 Inputs'!$C$8)^2</f>
        <v>12500000</v>
      </c>
      <c r="F144" s="94" t="n">
        <f aca="false">8000000*(1+'A2 Inputs'!$C$8)^3</f>
        <v>15625000</v>
      </c>
      <c r="G144" s="94" t="n">
        <f aca="false">8000000*(1+'A2 Inputs'!$C$8)^4</f>
        <v>19531250</v>
      </c>
      <c r="H144" s="94" t="n">
        <f aca="false">8000000*(1+'A2 Inputs'!$C$8)^5</f>
        <v>24414062.5</v>
      </c>
      <c r="I144" s="94" t="n">
        <f aca="false">8000000*(1+'A2 Inputs'!$C$8)^6</f>
        <v>30517578.125</v>
      </c>
    </row>
    <row r="145" customFormat="false" ht="15" hidden="false" customHeight="true" outlineLevel="0" collapsed="false">
      <c r="B145" s="30" t="s">
        <v>296</v>
      </c>
      <c r="C145" s="94" t="n">
        <f aca="false">8000000*((1+'A2 Inputs'!$C$8)^1-1)/'A2 Inputs'!$C$8</f>
        <v>8000000</v>
      </c>
      <c r="D145" s="94" t="n">
        <f aca="false">8000000*((1+'A2 Inputs'!$C$8)^2-1)/'A2 Inputs'!$C$8</f>
        <v>18000000</v>
      </c>
      <c r="E145" s="94" t="n">
        <f aca="false">8000000*((1+'A2 Inputs'!$C$8)^3-1)/'A2 Inputs'!$C$8</f>
        <v>30500000</v>
      </c>
      <c r="F145" s="94" t="n">
        <f aca="false">8000000*((1+'A2 Inputs'!$C$8)^4-1)/'A2 Inputs'!$C$8</f>
        <v>46125000</v>
      </c>
      <c r="G145" s="94" t="n">
        <f aca="false">8000000*((1+'A2 Inputs'!$C$8)^5-1)/'A2 Inputs'!$C$8</f>
        <v>65656250</v>
      </c>
      <c r="H145" s="94" t="n">
        <f aca="false">8000000*((1+'A2 Inputs'!$C$8)^6-1)/'A2 Inputs'!$C$8</f>
        <v>90070312.5</v>
      </c>
      <c r="I145" s="94" t="n">
        <f aca="false">8000000*((1+'A2 Inputs'!$C$8)^7-1)/'A2 Inputs'!$C$8</f>
        <v>120587890.625</v>
      </c>
    </row>
    <row r="146" customFormat="false" ht="15" hidden="false" customHeight="true" outlineLevel="0" collapsed="false">
      <c r="B146" s="30" t="s">
        <v>297</v>
      </c>
      <c r="C146" s="94" t="n">
        <f aca="false">'A2 Inputs'!$C$21+('A2 Inputs'!$C$22-'A2 Inputs'!$C$21)*MIN(1,(0)/3)</f>
        <v>0.8</v>
      </c>
      <c r="D146" s="94" t="n">
        <f aca="false">'A2 Inputs'!$C$21+('A2 Inputs'!$C$22-'A2 Inputs'!$C$21)*MIN(1,(1)/3)</f>
        <v>0.856666666666667</v>
      </c>
      <c r="E146" s="94" t="n">
        <f aca="false">'A2 Inputs'!$C$21+('A2 Inputs'!$C$22-'A2 Inputs'!$C$21)*MIN(1,(2)/3)</f>
        <v>0.913333333333333</v>
      </c>
      <c r="F146" s="94" t="n">
        <f aca="false">'A2 Inputs'!$C$21+('A2 Inputs'!$C$22-'A2 Inputs'!$C$21)*MIN(1,(3)/3)</f>
        <v>0.97</v>
      </c>
      <c r="G146" s="94" t="n">
        <f aca="false">'A2 Inputs'!$C$21+('A2 Inputs'!$C$22-'A2 Inputs'!$C$21)*MIN(1,(4)/3)</f>
        <v>0.97</v>
      </c>
      <c r="H146" s="94" t="n">
        <f aca="false">'A2 Inputs'!$C$21+('A2 Inputs'!$C$22-'A2 Inputs'!$C$21)*MIN(1,(5)/3)</f>
        <v>0.97</v>
      </c>
      <c r="I146" s="94" t="n">
        <f aca="false">'A2 Inputs'!$C$21+('A2 Inputs'!$C$22-'A2 Inputs'!$C$21)*MIN(1,(6)/3)</f>
        <v>0.97</v>
      </c>
    </row>
    <row r="147" customFormat="false" ht="15" hidden="false" customHeight="true" outlineLevel="0" collapsed="false">
      <c r="B147" s="30" t="s">
        <v>298</v>
      </c>
      <c r="C147" s="94" t="n">
        <f aca="false">'A2 Inputs'!$C$19*((C145/8000000)^(LOG(0.85,2)))/C146</f>
        <v>4.5</v>
      </c>
      <c r="D147" s="94" t="n">
        <f aca="false">'A2 Inputs'!$C$19*((D145/8000000)^(LOG(0.85,2)))/D146</f>
        <v>3.47469003471779</v>
      </c>
      <c r="E147" s="94" t="n">
        <f aca="false">'A2 Inputs'!$C$19*((E145/8000000)^(LOG(0.85,2)))/E146</f>
        <v>2.88004767689451</v>
      </c>
      <c r="F147" s="94" t="n">
        <f aca="false">'A2 Inputs'!$C$19*((F145/8000000)^(LOG(0.85,2)))/F146</f>
        <v>2.46115363070866</v>
      </c>
      <c r="G147" s="94" t="n">
        <f aca="false">'A2 Inputs'!$C$19*((G145/8000000)^(LOG(0.85,2)))/G146</f>
        <v>2.26561386461288</v>
      </c>
      <c r="H147" s="94" t="n">
        <f aca="false">'A2 Inputs'!$C$19*((H145/8000000)^(LOG(0.85,2)))/H146</f>
        <v>2.10374212101107</v>
      </c>
      <c r="I147" s="94" t="n">
        <f aca="false">'A2 Inputs'!$C$19*((I145/8000000)^(LOG(0.85,2)))/I146</f>
        <v>1.96462917833725</v>
      </c>
    </row>
    <row r="148" customFormat="false" ht="15" hidden="false" customHeight="true" outlineLevel="0" collapsed="false">
      <c r="B148" s="30" t="s">
        <v>299</v>
      </c>
      <c r="C148" s="94" t="n">
        <f aca="false">C144*'A2 Inputs'!$C$13*(1+'A2 Inputs'!$C$14)^0</f>
        <v>36000000</v>
      </c>
      <c r="D148" s="94" t="n">
        <f aca="false">D144*'A2 Inputs'!$C$13*(1+'A2 Inputs'!$C$14)^1</f>
        <v>46350000</v>
      </c>
      <c r="E148" s="94" t="n">
        <f aca="false">E144*'A2 Inputs'!$C$13*(1+'A2 Inputs'!$C$14)^2</f>
        <v>59675625</v>
      </c>
      <c r="F148" s="94" t="n">
        <f aca="false">F144*'A2 Inputs'!$C$13*(1+'A2 Inputs'!$C$14)^3</f>
        <v>76832367.1875</v>
      </c>
      <c r="G148" s="94" t="n">
        <f aca="false">G144*'A2 Inputs'!$C$13*(1+'A2 Inputs'!$C$14)^4</f>
        <v>98921672.7539063</v>
      </c>
      <c r="H148" s="94" t="n">
        <f aca="false">H144*'A2 Inputs'!$C$13*(1+'A2 Inputs'!$C$14)^5</f>
        <v>127361653.670654</v>
      </c>
      <c r="I148" s="94" t="n">
        <f aca="false">I144*'A2 Inputs'!$C$13*(1+'A2 Inputs'!$C$14)^6</f>
        <v>163978129.100967</v>
      </c>
    </row>
    <row r="149" customFormat="false" ht="15" hidden="false" customHeight="true" outlineLevel="0" collapsed="false">
      <c r="B149" s="30" t="s">
        <v>300</v>
      </c>
      <c r="C149" s="94" t="n">
        <f aca="false">C144*C147+'A2 Inputs'!$C$17*'A2 Inputs'!$C$23+'A2 Inputs'!$C$17</f>
        <v>73100000</v>
      </c>
      <c r="D149" s="94" t="n">
        <f aca="false">D144*D147+'A2 Inputs'!$C$17*'A2 Inputs'!$C$23</f>
        <v>36846900.3471779</v>
      </c>
      <c r="E149" s="94" t="n">
        <f aca="false">E144*E147+'A2 Inputs'!$C$17*'A2 Inputs'!$C$23</f>
        <v>38100595.9611814</v>
      </c>
      <c r="F149" s="94" t="n">
        <f aca="false">F144*F147+'A2 Inputs'!$C$17*'A2 Inputs'!$C$23</f>
        <v>40555525.4798227</v>
      </c>
      <c r="G149" s="94" t="n">
        <f aca="false">G144*G147+'A2 Inputs'!$C$17*'A2 Inputs'!$C$23</f>
        <v>46350270.7932202</v>
      </c>
      <c r="H149" s="94" t="n">
        <f aca="false">H144*H147+'A2 Inputs'!$C$17*'A2 Inputs'!$C$23</f>
        <v>53460891.6262467</v>
      </c>
      <c r="I149" s="94" t="n">
        <f aca="false">I144*I147+'A2 Inputs'!$C$17*'A2 Inputs'!$C$23</f>
        <v>62055724.4365615</v>
      </c>
    </row>
    <row r="150" customFormat="false" ht="15" hidden="false" customHeight="true" outlineLevel="0" collapsed="false">
      <c r="B150" s="30" t="s">
        <v>301</v>
      </c>
      <c r="C150" s="94" t="n">
        <f aca="false">(C148-C149)/(1+'A2 Inputs'!$C$10)^1</f>
        <v>-33125000</v>
      </c>
      <c r="D150" s="94" t="n">
        <f aca="false">(D148-D149)/(1+'A2 Inputs'!$C$10)^2</f>
        <v>7575812.86098699</v>
      </c>
      <c r="E150" s="94" t="n">
        <f aca="false">(E148-E149)/(1+'A2 Inputs'!$C$10)^3</f>
        <v>15356679.5158319</v>
      </c>
      <c r="F150" s="94" t="n">
        <f aca="false">(F148-F149)/(1+'A2 Inputs'!$C$10)^4</f>
        <v>23054588.7326593</v>
      </c>
      <c r="G150" s="94" t="n">
        <f aca="false">(G148-G149)/(1+'A2 Inputs'!$C$10)^5</f>
        <v>29830425.3152707</v>
      </c>
      <c r="H150" s="94" t="n">
        <f aca="false">(H148-H149)/(1+'A2 Inputs'!$C$10)^6</f>
        <v>37440425.9304166</v>
      </c>
      <c r="I150" s="94" t="n">
        <f aca="false">(I148-I149)/(1+'A2 Inputs'!$C$10)^7</f>
        <v>46104519.7751934</v>
      </c>
    </row>
    <row r="152" customFormat="false" ht="15" hidden="false" customHeight="true" outlineLevel="0" collapsed="false">
      <c r="B152" s="70" t="s">
        <v>316</v>
      </c>
      <c r="C152" s="30" t="s">
        <v>288</v>
      </c>
      <c r="D152" s="30" t="s">
        <v>289</v>
      </c>
      <c r="E152" s="30" t="s">
        <v>290</v>
      </c>
      <c r="F152" s="30" t="s">
        <v>291</v>
      </c>
      <c r="G152" s="30" t="s">
        <v>292</v>
      </c>
      <c r="H152" s="30" t="s">
        <v>293</v>
      </c>
      <c r="I152" s="30" t="s">
        <v>294</v>
      </c>
    </row>
    <row r="153" customFormat="false" ht="15" hidden="false" customHeight="true" outlineLevel="0" collapsed="false">
      <c r="B153" s="30" t="s">
        <v>295</v>
      </c>
      <c r="C153" s="94" t="n">
        <f aca="false">1000000*(1+'A2 Inputs'!$C$8)^0</f>
        <v>1000000</v>
      </c>
      <c r="D153" s="94" t="n">
        <f aca="false">1000000*(1+'A2 Inputs'!$C$8)^1</f>
        <v>1250000</v>
      </c>
      <c r="E153" s="94" t="n">
        <f aca="false">1000000*(1+'A2 Inputs'!$C$8)^2</f>
        <v>1562500</v>
      </c>
      <c r="F153" s="94" t="n">
        <f aca="false">1000000*(1+'A2 Inputs'!$C$8)^3</f>
        <v>1953125</v>
      </c>
      <c r="G153" s="94" t="n">
        <f aca="false">1000000*(1+'A2 Inputs'!$C$8)^4</f>
        <v>2441406.25</v>
      </c>
      <c r="H153" s="94" t="n">
        <f aca="false">1000000*(1+'A2 Inputs'!$C$8)^5</f>
        <v>3051757.8125</v>
      </c>
      <c r="I153" s="94" t="n">
        <f aca="false">1000000*(1+'A2 Inputs'!$C$8)^6</f>
        <v>3814697.265625</v>
      </c>
    </row>
    <row r="154" customFormat="false" ht="15" hidden="false" customHeight="true" outlineLevel="0" collapsed="false">
      <c r="B154" s="30" t="s">
        <v>296</v>
      </c>
      <c r="C154" s="94" t="n">
        <f aca="false">1000000*((1+'A2 Inputs'!$C$8)^1-1)/'A2 Inputs'!$C$8</f>
        <v>1000000</v>
      </c>
      <c r="D154" s="94" t="n">
        <f aca="false">1000000*((1+'A2 Inputs'!$C$8)^2-1)/'A2 Inputs'!$C$8</f>
        <v>2250000</v>
      </c>
      <c r="E154" s="94" t="n">
        <f aca="false">1000000*((1+'A2 Inputs'!$C$8)^3-1)/'A2 Inputs'!$C$8</f>
        <v>3812500</v>
      </c>
      <c r="F154" s="94" t="n">
        <f aca="false">1000000*((1+'A2 Inputs'!$C$8)^4-1)/'A2 Inputs'!$C$8</f>
        <v>5765625</v>
      </c>
      <c r="G154" s="94" t="n">
        <f aca="false">1000000*((1+'A2 Inputs'!$C$8)^5-1)/'A2 Inputs'!$C$8</f>
        <v>8207031.25</v>
      </c>
      <c r="H154" s="94" t="n">
        <f aca="false">1000000*((1+'A2 Inputs'!$C$8)^6-1)/'A2 Inputs'!$C$8</f>
        <v>11258789.0625</v>
      </c>
      <c r="I154" s="94" t="n">
        <f aca="false">1000000*((1+'A2 Inputs'!$C$8)^7-1)/'A2 Inputs'!$C$8</f>
        <v>15073486.328125</v>
      </c>
    </row>
    <row r="155" customFormat="false" ht="15" hidden="false" customHeight="true" outlineLevel="0" collapsed="false">
      <c r="B155" s="30" t="s">
        <v>297</v>
      </c>
      <c r="C155" s="94" t="n">
        <f aca="false">'A2 Inputs'!$C$21+('A2 Inputs'!$C$22-'A2 Inputs'!$C$21)*MIN(1,(0)/3)</f>
        <v>0.8</v>
      </c>
      <c r="D155" s="94" t="n">
        <f aca="false">'A2 Inputs'!$C$21+('A2 Inputs'!$C$22-'A2 Inputs'!$C$21)*MIN(1,(1)/3)</f>
        <v>0.856666666666667</v>
      </c>
      <c r="E155" s="94" t="n">
        <f aca="false">'A2 Inputs'!$C$21+('A2 Inputs'!$C$22-'A2 Inputs'!$C$21)*MIN(1,(2)/3)</f>
        <v>0.913333333333333</v>
      </c>
      <c r="F155" s="94" t="n">
        <f aca="false">'A2 Inputs'!$C$21+('A2 Inputs'!$C$22-'A2 Inputs'!$C$21)*MIN(1,(3)/3)</f>
        <v>0.97</v>
      </c>
      <c r="G155" s="94" t="n">
        <f aca="false">'A2 Inputs'!$C$21+('A2 Inputs'!$C$22-'A2 Inputs'!$C$21)*MIN(1,(4)/3)</f>
        <v>0.97</v>
      </c>
      <c r="H155" s="94" t="n">
        <f aca="false">'A2 Inputs'!$C$21+('A2 Inputs'!$C$22-'A2 Inputs'!$C$21)*MIN(1,(5)/3)</f>
        <v>0.97</v>
      </c>
      <c r="I155" s="94" t="n">
        <f aca="false">'A2 Inputs'!$C$21+('A2 Inputs'!$C$22-'A2 Inputs'!$C$21)*MIN(1,(6)/3)</f>
        <v>0.97</v>
      </c>
    </row>
    <row r="156" customFormat="false" ht="15" hidden="false" customHeight="true" outlineLevel="0" collapsed="false">
      <c r="B156" s="30" t="s">
        <v>298</v>
      </c>
      <c r="C156" s="94" t="n">
        <f aca="false">'A2 Inputs'!$C$19*((C154/1000000)^(LOG(0.82,2)))/C155</f>
        <v>4.5</v>
      </c>
      <c r="D156" s="94" t="n">
        <f aca="false">'A2 Inputs'!$C$19*((D154/1000000)^(LOG(0.82,2)))/D155</f>
        <v>3.33164947919598</v>
      </c>
      <c r="E156" s="94" t="n">
        <f aca="false">'A2 Inputs'!$C$19*((E154/1000000)^(LOG(0.82,2)))/E155</f>
        <v>2.68701678581753</v>
      </c>
      <c r="F156" s="94" t="n">
        <f aca="false">'A2 Inputs'!$C$19*((F154/1000000)^(LOG(0.82,2)))/F155</f>
        <v>2.24748737161961</v>
      </c>
      <c r="G156" s="94" t="n">
        <f aca="false">'A2 Inputs'!$C$19*((G154/1000000)^(LOG(0.82,2)))/G155</f>
        <v>2.03140007314655</v>
      </c>
      <c r="H156" s="94" t="n">
        <f aca="false">'A2 Inputs'!$C$19*((H154/1000000)^(LOG(0.82,2)))/H155</f>
        <v>1.85559971494632</v>
      </c>
      <c r="I156" s="94" t="n">
        <f aca="false">'A2 Inputs'!$C$19*((I154/1000000)^(LOG(0.82,2)))/I155</f>
        <v>1.70688102285712</v>
      </c>
    </row>
    <row r="157" customFormat="false" ht="15" hidden="false" customHeight="true" outlineLevel="0" collapsed="false">
      <c r="B157" s="30" t="s">
        <v>299</v>
      </c>
      <c r="C157" s="94" t="n">
        <f aca="false">C153*'A2 Inputs'!$C$13*(1+'A2 Inputs'!$C$14)^0</f>
        <v>4500000</v>
      </c>
      <c r="D157" s="94" t="n">
        <f aca="false">D153*'A2 Inputs'!$C$13*(1+'A2 Inputs'!$C$14)^1</f>
        <v>5793750</v>
      </c>
      <c r="E157" s="94" t="n">
        <f aca="false">E153*'A2 Inputs'!$C$13*(1+'A2 Inputs'!$C$14)^2</f>
        <v>7459453.125</v>
      </c>
      <c r="F157" s="94" t="n">
        <f aca="false">F153*'A2 Inputs'!$C$13*(1+'A2 Inputs'!$C$14)^3</f>
        <v>9604045.8984375</v>
      </c>
      <c r="G157" s="94" t="n">
        <f aca="false">G153*'A2 Inputs'!$C$13*(1+'A2 Inputs'!$C$14)^4</f>
        <v>12365209.0942383</v>
      </c>
      <c r="H157" s="94" t="n">
        <f aca="false">H153*'A2 Inputs'!$C$13*(1+'A2 Inputs'!$C$14)^5</f>
        <v>15920206.7088318</v>
      </c>
      <c r="I157" s="94" t="n">
        <f aca="false">I153*'A2 Inputs'!$C$13*(1+'A2 Inputs'!$C$14)^6</f>
        <v>20497266.1376209</v>
      </c>
    </row>
    <row r="158" customFormat="false" ht="15" hidden="false" customHeight="true" outlineLevel="0" collapsed="false">
      <c r="B158" s="30" t="s">
        <v>300</v>
      </c>
      <c r="C158" s="94" t="n">
        <f aca="false">C153*C156+'A2 Inputs'!$C$17*'A2 Inputs'!$C$23+'A2 Inputs'!$C$17</f>
        <v>41600000</v>
      </c>
      <c r="D158" s="94" t="n">
        <f aca="false">D153*D156+'A2 Inputs'!$C$17*'A2 Inputs'!$C$23</f>
        <v>6264561.84899498</v>
      </c>
      <c r="E158" s="94" t="n">
        <f aca="false">E153*E156+'A2 Inputs'!$C$17*'A2 Inputs'!$C$23</f>
        <v>6298463.72783989</v>
      </c>
      <c r="F158" s="94" t="n">
        <f aca="false">F153*F156+'A2 Inputs'!$C$17*'A2 Inputs'!$C$23</f>
        <v>6489623.77269455</v>
      </c>
      <c r="G158" s="94" t="n">
        <f aca="false">G153*G156+'A2 Inputs'!$C$17*'A2 Inputs'!$C$23</f>
        <v>7059472.83483044</v>
      </c>
      <c r="H158" s="94" t="n">
        <f aca="false">H153*H156+'A2 Inputs'!$C$17*'A2 Inputs'!$C$23</f>
        <v>7762840.92696021</v>
      </c>
      <c r="I158" s="94" t="n">
        <f aca="false">I153*I156+'A2 Inputs'!$C$17*'A2 Inputs'!$C$23</f>
        <v>8611234.37064026</v>
      </c>
    </row>
    <row r="159" customFormat="false" ht="15" hidden="false" customHeight="true" outlineLevel="0" collapsed="false">
      <c r="B159" s="30" t="s">
        <v>301</v>
      </c>
      <c r="C159" s="94" t="n">
        <f aca="false">(C157-C158)/(1+'A2 Inputs'!$C$10)^1</f>
        <v>-33125000</v>
      </c>
      <c r="D159" s="94" t="n">
        <f aca="false">(D157-D158)/(1+'A2 Inputs'!$C$10)^2</f>
        <v>-375328.32349727</v>
      </c>
      <c r="E159" s="94" t="n">
        <f aca="false">(E157-E158)/(1+'A2 Inputs'!$C$10)^3</f>
        <v>826369.320819363</v>
      </c>
      <c r="F159" s="94" t="n">
        <f aca="false">(F157-F158)/(1+'A2 Inputs'!$C$10)^4</f>
        <v>1979271.56469365</v>
      </c>
      <c r="G159" s="94" t="n">
        <f aca="false">(G157-G158)/(1+'A2 Inputs'!$C$10)^5</f>
        <v>3010617.24294795</v>
      </c>
      <c r="H159" s="94" t="n">
        <f aca="false">(H157-H158)/(1+'A2 Inputs'!$C$10)^6</f>
        <v>4132775.37192311</v>
      </c>
      <c r="I159" s="94" t="n">
        <f aca="false">(I157-I158)/(1+'A2 Inputs'!$C$10)^7</f>
        <v>5376637.1432631</v>
      </c>
    </row>
    <row r="161" customFormat="false" ht="15" hidden="false" customHeight="true" outlineLevel="0" collapsed="false">
      <c r="B161" s="70" t="s">
        <v>317</v>
      </c>
      <c r="C161" s="30" t="s">
        <v>288</v>
      </c>
      <c r="D161" s="30" t="s">
        <v>289</v>
      </c>
      <c r="E161" s="30" t="s">
        <v>290</v>
      </c>
      <c r="F161" s="30" t="s">
        <v>291</v>
      </c>
      <c r="G161" s="30" t="s">
        <v>292</v>
      </c>
      <c r="H161" s="30" t="s">
        <v>293</v>
      </c>
      <c r="I161" s="30" t="s">
        <v>294</v>
      </c>
    </row>
    <row r="162" customFormat="false" ht="15" hidden="false" customHeight="true" outlineLevel="0" collapsed="false">
      <c r="B162" s="30" t="s">
        <v>295</v>
      </c>
      <c r="C162" s="94" t="n">
        <f aca="false">2000000*(1+'A2 Inputs'!$C$8)^0</f>
        <v>2000000</v>
      </c>
      <c r="D162" s="94" t="n">
        <f aca="false">2000000*(1+'A2 Inputs'!$C$8)^1</f>
        <v>2500000</v>
      </c>
      <c r="E162" s="94" t="n">
        <f aca="false">2000000*(1+'A2 Inputs'!$C$8)^2</f>
        <v>3125000</v>
      </c>
      <c r="F162" s="94" t="n">
        <f aca="false">2000000*(1+'A2 Inputs'!$C$8)^3</f>
        <v>3906250</v>
      </c>
      <c r="G162" s="94" t="n">
        <f aca="false">2000000*(1+'A2 Inputs'!$C$8)^4</f>
        <v>4882812.5</v>
      </c>
      <c r="H162" s="94" t="n">
        <f aca="false">2000000*(1+'A2 Inputs'!$C$8)^5</f>
        <v>6103515.625</v>
      </c>
      <c r="I162" s="94" t="n">
        <f aca="false">2000000*(1+'A2 Inputs'!$C$8)^6</f>
        <v>7629394.53125</v>
      </c>
    </row>
    <row r="163" customFormat="false" ht="15" hidden="false" customHeight="true" outlineLevel="0" collapsed="false">
      <c r="B163" s="30" t="s">
        <v>296</v>
      </c>
      <c r="C163" s="94" t="n">
        <f aca="false">2000000*((1+'A2 Inputs'!$C$8)^1-1)/'A2 Inputs'!$C$8</f>
        <v>2000000</v>
      </c>
      <c r="D163" s="94" t="n">
        <f aca="false">2000000*((1+'A2 Inputs'!$C$8)^2-1)/'A2 Inputs'!$C$8</f>
        <v>4500000</v>
      </c>
      <c r="E163" s="94" t="n">
        <f aca="false">2000000*((1+'A2 Inputs'!$C$8)^3-1)/'A2 Inputs'!$C$8</f>
        <v>7625000</v>
      </c>
      <c r="F163" s="94" t="n">
        <f aca="false">2000000*((1+'A2 Inputs'!$C$8)^4-1)/'A2 Inputs'!$C$8</f>
        <v>11531250</v>
      </c>
      <c r="G163" s="94" t="n">
        <f aca="false">2000000*((1+'A2 Inputs'!$C$8)^5-1)/'A2 Inputs'!$C$8</f>
        <v>16414062.5</v>
      </c>
      <c r="H163" s="94" t="n">
        <f aca="false">2000000*((1+'A2 Inputs'!$C$8)^6-1)/'A2 Inputs'!$C$8</f>
        <v>22517578.125</v>
      </c>
      <c r="I163" s="94" t="n">
        <f aca="false">2000000*((1+'A2 Inputs'!$C$8)^7-1)/'A2 Inputs'!$C$8</f>
        <v>30146972.65625</v>
      </c>
    </row>
    <row r="164" customFormat="false" ht="15" hidden="false" customHeight="true" outlineLevel="0" collapsed="false">
      <c r="B164" s="30" t="s">
        <v>297</v>
      </c>
      <c r="C164" s="94" t="n">
        <f aca="false">'A2 Inputs'!$C$21+('A2 Inputs'!$C$22-'A2 Inputs'!$C$21)*MIN(1,(0)/3)</f>
        <v>0.8</v>
      </c>
      <c r="D164" s="94" t="n">
        <f aca="false">'A2 Inputs'!$C$21+('A2 Inputs'!$C$22-'A2 Inputs'!$C$21)*MIN(1,(1)/3)</f>
        <v>0.856666666666667</v>
      </c>
      <c r="E164" s="94" t="n">
        <f aca="false">'A2 Inputs'!$C$21+('A2 Inputs'!$C$22-'A2 Inputs'!$C$21)*MIN(1,(2)/3)</f>
        <v>0.913333333333333</v>
      </c>
      <c r="F164" s="94" t="n">
        <f aca="false">'A2 Inputs'!$C$21+('A2 Inputs'!$C$22-'A2 Inputs'!$C$21)*MIN(1,(3)/3)</f>
        <v>0.97</v>
      </c>
      <c r="G164" s="94" t="n">
        <f aca="false">'A2 Inputs'!$C$21+('A2 Inputs'!$C$22-'A2 Inputs'!$C$21)*MIN(1,(4)/3)</f>
        <v>0.97</v>
      </c>
      <c r="H164" s="94" t="n">
        <f aca="false">'A2 Inputs'!$C$21+('A2 Inputs'!$C$22-'A2 Inputs'!$C$21)*MIN(1,(5)/3)</f>
        <v>0.97</v>
      </c>
      <c r="I164" s="94" t="n">
        <f aca="false">'A2 Inputs'!$C$21+('A2 Inputs'!$C$22-'A2 Inputs'!$C$21)*MIN(1,(6)/3)</f>
        <v>0.97</v>
      </c>
    </row>
    <row r="165" customFormat="false" ht="15" hidden="false" customHeight="true" outlineLevel="0" collapsed="false">
      <c r="B165" s="30" t="s">
        <v>298</v>
      </c>
      <c r="C165" s="94" t="n">
        <f aca="false">'A2 Inputs'!$C$19*((C163/2000000)^(LOG(0.82,2)))/C164</f>
        <v>4.5</v>
      </c>
      <c r="D165" s="94" t="n">
        <f aca="false">'A2 Inputs'!$C$19*((D163/2000000)^(LOG(0.82,2)))/D164</f>
        <v>3.33164947919598</v>
      </c>
      <c r="E165" s="94" t="n">
        <f aca="false">'A2 Inputs'!$C$19*((E163/2000000)^(LOG(0.82,2)))/E164</f>
        <v>2.68701678581753</v>
      </c>
      <c r="F165" s="94" t="n">
        <f aca="false">'A2 Inputs'!$C$19*((F163/2000000)^(LOG(0.82,2)))/F164</f>
        <v>2.24748737161961</v>
      </c>
      <c r="G165" s="94" t="n">
        <f aca="false">'A2 Inputs'!$C$19*((G163/2000000)^(LOG(0.82,2)))/G164</f>
        <v>2.03140007314655</v>
      </c>
      <c r="H165" s="94" t="n">
        <f aca="false">'A2 Inputs'!$C$19*((H163/2000000)^(LOG(0.82,2)))/H164</f>
        <v>1.85559971494632</v>
      </c>
      <c r="I165" s="94" t="n">
        <f aca="false">'A2 Inputs'!$C$19*((I163/2000000)^(LOG(0.82,2)))/I164</f>
        <v>1.70688102285712</v>
      </c>
    </row>
    <row r="166" customFormat="false" ht="15" hidden="false" customHeight="true" outlineLevel="0" collapsed="false">
      <c r="B166" s="30" t="s">
        <v>299</v>
      </c>
      <c r="C166" s="94" t="n">
        <f aca="false">C162*'A2 Inputs'!$C$13*(1+'A2 Inputs'!$C$14)^0</f>
        <v>9000000</v>
      </c>
      <c r="D166" s="94" t="n">
        <f aca="false">D162*'A2 Inputs'!$C$13*(1+'A2 Inputs'!$C$14)^1</f>
        <v>11587500</v>
      </c>
      <c r="E166" s="94" t="n">
        <f aca="false">E162*'A2 Inputs'!$C$13*(1+'A2 Inputs'!$C$14)^2</f>
        <v>14918906.25</v>
      </c>
      <c r="F166" s="94" t="n">
        <f aca="false">F162*'A2 Inputs'!$C$13*(1+'A2 Inputs'!$C$14)^3</f>
        <v>19208091.796875</v>
      </c>
      <c r="G166" s="94" t="n">
        <f aca="false">G162*'A2 Inputs'!$C$13*(1+'A2 Inputs'!$C$14)^4</f>
        <v>24730418.1884766</v>
      </c>
      <c r="H166" s="94" t="n">
        <f aca="false">H162*'A2 Inputs'!$C$13*(1+'A2 Inputs'!$C$14)^5</f>
        <v>31840413.4176636</v>
      </c>
      <c r="I166" s="94" t="n">
        <f aca="false">I162*'A2 Inputs'!$C$13*(1+'A2 Inputs'!$C$14)^6</f>
        <v>40994532.2752419</v>
      </c>
    </row>
    <row r="167" customFormat="false" ht="15" hidden="false" customHeight="true" outlineLevel="0" collapsed="false">
      <c r="B167" s="30" t="s">
        <v>300</v>
      </c>
      <c r="C167" s="94" t="n">
        <f aca="false">C162*C165+'A2 Inputs'!$C$17*'A2 Inputs'!$C$23+'A2 Inputs'!$C$17</f>
        <v>46100000</v>
      </c>
      <c r="D167" s="94" t="n">
        <f aca="false">D162*D165+'A2 Inputs'!$C$17*'A2 Inputs'!$C$23</f>
        <v>10429123.69799</v>
      </c>
      <c r="E167" s="94" t="n">
        <f aca="false">E162*E165+'A2 Inputs'!$C$17*'A2 Inputs'!$C$23</f>
        <v>10496927.4556798</v>
      </c>
      <c r="F167" s="94" t="n">
        <f aca="false">F162*F165+'A2 Inputs'!$C$17*'A2 Inputs'!$C$23</f>
        <v>10879247.5453891</v>
      </c>
      <c r="G167" s="94" t="n">
        <f aca="false">G162*G165+'A2 Inputs'!$C$17*'A2 Inputs'!$C$23</f>
        <v>12018945.6696609</v>
      </c>
      <c r="H167" s="94" t="n">
        <f aca="false">H162*H165+'A2 Inputs'!$C$17*'A2 Inputs'!$C$23</f>
        <v>13425681.8539204</v>
      </c>
      <c r="I167" s="94" t="n">
        <f aca="false">I162*I165+'A2 Inputs'!$C$17*'A2 Inputs'!$C$23</f>
        <v>15122468.7412805</v>
      </c>
    </row>
    <row r="168" customFormat="false" ht="15" hidden="false" customHeight="true" outlineLevel="0" collapsed="false">
      <c r="B168" s="30" t="s">
        <v>301</v>
      </c>
      <c r="C168" s="94" t="n">
        <f aca="false">(C166-C167)/(1+'A2 Inputs'!$C$10)^1</f>
        <v>-33125000</v>
      </c>
      <c r="D168" s="94" t="n">
        <f aca="false">(D166-D167)/(1+'A2 Inputs'!$C$10)^2</f>
        <v>923450.495862602</v>
      </c>
      <c r="E168" s="94" t="n">
        <f aca="false">(E166-E167)/(1+'A2 Inputs'!$C$10)^3</f>
        <v>3147477.16204689</v>
      </c>
      <c r="F168" s="94" t="n">
        <f aca="false">(F166-F167)/(1+'A2 Inputs'!$C$10)^4</f>
        <v>5293131.09403745</v>
      </c>
      <c r="G168" s="94" t="n">
        <f aca="false">(G166-G167)/(1+'A2 Inputs'!$C$10)^5</f>
        <v>7212830.88290497</v>
      </c>
      <c r="H168" s="94" t="n">
        <f aca="false">(H166-H167)/(1+'A2 Inputs'!$C$10)^6</f>
        <v>9329476.09831859</v>
      </c>
      <c r="I168" s="94" t="n">
        <f aca="false">(I166-I167)/(1+'A2 Inputs'!$C$10)^7</f>
        <v>11703207.6387337</v>
      </c>
    </row>
    <row r="170" customFormat="false" ht="15" hidden="false" customHeight="true" outlineLevel="0" collapsed="false">
      <c r="B170" s="70" t="s">
        <v>318</v>
      </c>
      <c r="C170" s="30" t="s">
        <v>288</v>
      </c>
      <c r="D170" s="30" t="s">
        <v>289</v>
      </c>
      <c r="E170" s="30" t="s">
        <v>290</v>
      </c>
      <c r="F170" s="30" t="s">
        <v>291</v>
      </c>
      <c r="G170" s="30" t="s">
        <v>292</v>
      </c>
      <c r="H170" s="30" t="s">
        <v>293</v>
      </c>
      <c r="I170" s="30" t="s">
        <v>294</v>
      </c>
    </row>
    <row r="171" customFormat="false" ht="15" hidden="false" customHeight="true" outlineLevel="0" collapsed="false">
      <c r="B171" s="30" t="s">
        <v>295</v>
      </c>
      <c r="C171" s="94" t="n">
        <f aca="false">3500000*(1+'A2 Inputs'!$C$8)^0</f>
        <v>3500000</v>
      </c>
      <c r="D171" s="94" t="n">
        <f aca="false">3500000*(1+'A2 Inputs'!$C$8)^1</f>
        <v>4375000</v>
      </c>
      <c r="E171" s="94" t="n">
        <f aca="false">3500000*(1+'A2 Inputs'!$C$8)^2</f>
        <v>5468750</v>
      </c>
      <c r="F171" s="94" t="n">
        <f aca="false">3500000*(1+'A2 Inputs'!$C$8)^3</f>
        <v>6835937.5</v>
      </c>
      <c r="G171" s="94" t="n">
        <f aca="false">3500000*(1+'A2 Inputs'!$C$8)^4</f>
        <v>8544921.875</v>
      </c>
      <c r="H171" s="94" t="n">
        <f aca="false">3500000*(1+'A2 Inputs'!$C$8)^5</f>
        <v>10681152.34375</v>
      </c>
      <c r="I171" s="94" t="n">
        <f aca="false">3500000*(1+'A2 Inputs'!$C$8)^6</f>
        <v>13351440.4296875</v>
      </c>
    </row>
    <row r="172" customFormat="false" ht="15" hidden="false" customHeight="true" outlineLevel="0" collapsed="false">
      <c r="B172" s="30" t="s">
        <v>296</v>
      </c>
      <c r="C172" s="94" t="n">
        <f aca="false">3500000*((1+'A2 Inputs'!$C$8)^1-1)/'A2 Inputs'!$C$8</f>
        <v>3500000</v>
      </c>
      <c r="D172" s="94" t="n">
        <f aca="false">3500000*((1+'A2 Inputs'!$C$8)^2-1)/'A2 Inputs'!$C$8</f>
        <v>7875000</v>
      </c>
      <c r="E172" s="94" t="n">
        <f aca="false">3500000*((1+'A2 Inputs'!$C$8)^3-1)/'A2 Inputs'!$C$8</f>
        <v>13343750</v>
      </c>
      <c r="F172" s="94" t="n">
        <f aca="false">3500000*((1+'A2 Inputs'!$C$8)^4-1)/'A2 Inputs'!$C$8</f>
        <v>20179687.5</v>
      </c>
      <c r="G172" s="94" t="n">
        <f aca="false">3500000*((1+'A2 Inputs'!$C$8)^5-1)/'A2 Inputs'!$C$8</f>
        <v>28724609.375</v>
      </c>
      <c r="H172" s="94" t="n">
        <f aca="false">3500000*((1+'A2 Inputs'!$C$8)^6-1)/'A2 Inputs'!$C$8</f>
        <v>39405761.71875</v>
      </c>
      <c r="I172" s="94" t="n">
        <f aca="false">3500000*((1+'A2 Inputs'!$C$8)^7-1)/'A2 Inputs'!$C$8</f>
        <v>52757202.1484375</v>
      </c>
    </row>
    <row r="173" customFormat="false" ht="15" hidden="false" customHeight="true" outlineLevel="0" collapsed="false">
      <c r="B173" s="30" t="s">
        <v>297</v>
      </c>
      <c r="C173" s="94" t="n">
        <f aca="false">'A2 Inputs'!$C$21+('A2 Inputs'!$C$22-'A2 Inputs'!$C$21)*MIN(1,(0)/3)</f>
        <v>0.8</v>
      </c>
      <c r="D173" s="94" t="n">
        <f aca="false">'A2 Inputs'!$C$21+('A2 Inputs'!$C$22-'A2 Inputs'!$C$21)*MIN(1,(1)/3)</f>
        <v>0.856666666666667</v>
      </c>
      <c r="E173" s="94" t="n">
        <f aca="false">'A2 Inputs'!$C$21+('A2 Inputs'!$C$22-'A2 Inputs'!$C$21)*MIN(1,(2)/3)</f>
        <v>0.913333333333333</v>
      </c>
      <c r="F173" s="94" t="n">
        <f aca="false">'A2 Inputs'!$C$21+('A2 Inputs'!$C$22-'A2 Inputs'!$C$21)*MIN(1,(3)/3)</f>
        <v>0.97</v>
      </c>
      <c r="G173" s="94" t="n">
        <f aca="false">'A2 Inputs'!$C$21+('A2 Inputs'!$C$22-'A2 Inputs'!$C$21)*MIN(1,(4)/3)</f>
        <v>0.97</v>
      </c>
      <c r="H173" s="94" t="n">
        <f aca="false">'A2 Inputs'!$C$21+('A2 Inputs'!$C$22-'A2 Inputs'!$C$21)*MIN(1,(5)/3)</f>
        <v>0.97</v>
      </c>
      <c r="I173" s="94" t="n">
        <f aca="false">'A2 Inputs'!$C$21+('A2 Inputs'!$C$22-'A2 Inputs'!$C$21)*MIN(1,(6)/3)</f>
        <v>0.97</v>
      </c>
    </row>
    <row r="174" customFormat="false" ht="15" hidden="false" customHeight="true" outlineLevel="0" collapsed="false">
      <c r="B174" s="30" t="s">
        <v>298</v>
      </c>
      <c r="C174" s="94" t="n">
        <f aca="false">'A2 Inputs'!$C$19*((C172/3500000)^(LOG(0.82,2)))/C173</f>
        <v>4.5</v>
      </c>
      <c r="D174" s="94" t="n">
        <f aca="false">'A2 Inputs'!$C$19*((D172/3500000)^(LOG(0.82,2)))/D173</f>
        <v>3.33164947919598</v>
      </c>
      <c r="E174" s="94" t="n">
        <f aca="false">'A2 Inputs'!$C$19*((E172/3500000)^(LOG(0.82,2)))/E173</f>
        <v>2.68701678581753</v>
      </c>
      <c r="F174" s="94" t="n">
        <f aca="false">'A2 Inputs'!$C$19*((F172/3500000)^(LOG(0.82,2)))/F173</f>
        <v>2.24748737161961</v>
      </c>
      <c r="G174" s="94" t="n">
        <f aca="false">'A2 Inputs'!$C$19*((G172/3500000)^(LOG(0.82,2)))/G173</f>
        <v>2.03140007314655</v>
      </c>
      <c r="H174" s="94" t="n">
        <f aca="false">'A2 Inputs'!$C$19*((H172/3500000)^(LOG(0.82,2)))/H173</f>
        <v>1.85559971494632</v>
      </c>
      <c r="I174" s="94" t="n">
        <f aca="false">'A2 Inputs'!$C$19*((I172/3500000)^(LOG(0.82,2)))/I173</f>
        <v>1.70688102285712</v>
      </c>
    </row>
    <row r="175" customFormat="false" ht="15" hidden="false" customHeight="true" outlineLevel="0" collapsed="false">
      <c r="B175" s="30" t="s">
        <v>299</v>
      </c>
      <c r="C175" s="94" t="n">
        <f aca="false">C171*'A2 Inputs'!$C$13*(1+'A2 Inputs'!$C$14)^0</f>
        <v>15750000</v>
      </c>
      <c r="D175" s="94" t="n">
        <f aca="false">D171*'A2 Inputs'!$C$13*(1+'A2 Inputs'!$C$14)^1</f>
        <v>20278125</v>
      </c>
      <c r="E175" s="94" t="n">
        <f aca="false">E171*'A2 Inputs'!$C$13*(1+'A2 Inputs'!$C$14)^2</f>
        <v>26108085.9375</v>
      </c>
      <c r="F175" s="94" t="n">
        <f aca="false">F171*'A2 Inputs'!$C$13*(1+'A2 Inputs'!$C$14)^3</f>
        <v>33614160.6445313</v>
      </c>
      <c r="G175" s="94" t="n">
        <f aca="false">G171*'A2 Inputs'!$C$13*(1+'A2 Inputs'!$C$14)^4</f>
        <v>43278231.829834</v>
      </c>
      <c r="H175" s="94" t="n">
        <f aca="false">H171*'A2 Inputs'!$C$13*(1+'A2 Inputs'!$C$14)^5</f>
        <v>55720723.4809113</v>
      </c>
      <c r="I175" s="94" t="n">
        <f aca="false">I171*'A2 Inputs'!$C$13*(1+'A2 Inputs'!$C$14)^6</f>
        <v>71740431.4816733</v>
      </c>
    </row>
    <row r="176" customFormat="false" ht="15" hidden="false" customHeight="true" outlineLevel="0" collapsed="false">
      <c r="B176" s="30" t="s">
        <v>300</v>
      </c>
      <c r="C176" s="94" t="n">
        <f aca="false">C171*C174+'A2 Inputs'!$C$17*'A2 Inputs'!$C$23+'A2 Inputs'!$C$17</f>
        <v>52850000</v>
      </c>
      <c r="D176" s="94" t="n">
        <f aca="false">D171*D174+'A2 Inputs'!$C$17*'A2 Inputs'!$C$23</f>
        <v>16675966.4714824</v>
      </c>
      <c r="E176" s="94" t="n">
        <f aca="false">E171*E174+'A2 Inputs'!$C$17*'A2 Inputs'!$C$23</f>
        <v>16794623.0474396</v>
      </c>
      <c r="F176" s="94" t="n">
        <f aca="false">F171*F174+'A2 Inputs'!$C$17*'A2 Inputs'!$C$23</f>
        <v>17463683.2044309</v>
      </c>
      <c r="G176" s="94" t="n">
        <f aca="false">G171*G174+'A2 Inputs'!$C$17*'A2 Inputs'!$C$23</f>
        <v>19458154.9219065</v>
      </c>
      <c r="H176" s="94" t="n">
        <f aca="false">H171*H174+'A2 Inputs'!$C$17*'A2 Inputs'!$C$23</f>
        <v>21919943.2443608</v>
      </c>
      <c r="I176" s="94" t="n">
        <f aca="false">I171*I174+'A2 Inputs'!$C$17*'A2 Inputs'!$C$23</f>
        <v>24889320.2972409</v>
      </c>
    </row>
    <row r="177" customFormat="false" ht="15" hidden="false" customHeight="true" outlineLevel="0" collapsed="false">
      <c r="B177" s="30" t="s">
        <v>301</v>
      </c>
      <c r="C177" s="94" t="n">
        <f aca="false">(C175-C176)/(1+'A2 Inputs'!$C$10)^1</f>
        <v>-33125000</v>
      </c>
      <c r="D177" s="94" t="n">
        <f aca="false">(D175-D176)/(1+'A2 Inputs'!$C$10)^2</f>
        <v>2871618.72490241</v>
      </c>
      <c r="E177" s="94" t="n">
        <f aca="false">(E175-E176)/(1+'A2 Inputs'!$C$10)^3</f>
        <v>6629138.92388818</v>
      </c>
      <c r="F177" s="94" t="n">
        <f aca="false">(F175-F176)/(1+'A2 Inputs'!$C$10)^4</f>
        <v>10263920.3880531</v>
      </c>
      <c r="G177" s="94" t="n">
        <f aca="false">(G175-G176)/(1+'A2 Inputs'!$C$10)^5</f>
        <v>13516151.3428405</v>
      </c>
      <c r="H177" s="94" t="n">
        <f aca="false">(H175-H176)/(1+'A2 Inputs'!$C$10)^6</f>
        <v>17124527.1879118</v>
      </c>
      <c r="I177" s="94" t="n">
        <f aca="false">(I175-I176)/(1+'A2 Inputs'!$C$10)^7</f>
        <v>21193063.3819395</v>
      </c>
    </row>
    <row r="179" customFormat="false" ht="15" hidden="false" customHeight="true" outlineLevel="0" collapsed="false">
      <c r="B179" s="70" t="s">
        <v>319</v>
      </c>
      <c r="C179" s="30" t="s">
        <v>288</v>
      </c>
      <c r="D179" s="30" t="s">
        <v>289</v>
      </c>
      <c r="E179" s="30" t="s">
        <v>290</v>
      </c>
      <c r="F179" s="30" t="s">
        <v>291</v>
      </c>
      <c r="G179" s="30" t="s">
        <v>292</v>
      </c>
      <c r="H179" s="30" t="s">
        <v>293</v>
      </c>
      <c r="I179" s="30" t="s">
        <v>294</v>
      </c>
    </row>
    <row r="180" customFormat="false" ht="15" hidden="false" customHeight="true" outlineLevel="0" collapsed="false">
      <c r="B180" s="30" t="s">
        <v>295</v>
      </c>
      <c r="C180" s="94" t="n">
        <f aca="false">5500000*(1+'A2 Inputs'!$C$8)^0</f>
        <v>5500000</v>
      </c>
      <c r="D180" s="94" t="n">
        <f aca="false">5500000*(1+'A2 Inputs'!$C$8)^1</f>
        <v>6875000</v>
      </c>
      <c r="E180" s="94" t="n">
        <f aca="false">5500000*(1+'A2 Inputs'!$C$8)^2</f>
        <v>8593750</v>
      </c>
      <c r="F180" s="94" t="n">
        <f aca="false">5500000*(1+'A2 Inputs'!$C$8)^3</f>
        <v>10742187.5</v>
      </c>
      <c r="G180" s="94" t="n">
        <f aca="false">5500000*(1+'A2 Inputs'!$C$8)^4</f>
        <v>13427734.375</v>
      </c>
      <c r="H180" s="94" t="n">
        <f aca="false">5500000*(1+'A2 Inputs'!$C$8)^5</f>
        <v>16784667.96875</v>
      </c>
      <c r="I180" s="94" t="n">
        <f aca="false">5500000*(1+'A2 Inputs'!$C$8)^6</f>
        <v>20980834.9609375</v>
      </c>
    </row>
    <row r="181" customFormat="false" ht="15" hidden="false" customHeight="true" outlineLevel="0" collapsed="false">
      <c r="B181" s="30" t="s">
        <v>296</v>
      </c>
      <c r="C181" s="94" t="n">
        <f aca="false">5500000*((1+'A2 Inputs'!$C$8)^1-1)/'A2 Inputs'!$C$8</f>
        <v>5500000</v>
      </c>
      <c r="D181" s="94" t="n">
        <f aca="false">5500000*((1+'A2 Inputs'!$C$8)^2-1)/'A2 Inputs'!$C$8</f>
        <v>12375000</v>
      </c>
      <c r="E181" s="94" t="n">
        <f aca="false">5500000*((1+'A2 Inputs'!$C$8)^3-1)/'A2 Inputs'!$C$8</f>
        <v>20968750</v>
      </c>
      <c r="F181" s="94" t="n">
        <f aca="false">5500000*((1+'A2 Inputs'!$C$8)^4-1)/'A2 Inputs'!$C$8</f>
        <v>31710937.5</v>
      </c>
      <c r="G181" s="94" t="n">
        <f aca="false">5500000*((1+'A2 Inputs'!$C$8)^5-1)/'A2 Inputs'!$C$8</f>
        <v>45138671.875</v>
      </c>
      <c r="H181" s="94" t="n">
        <f aca="false">5500000*((1+'A2 Inputs'!$C$8)^6-1)/'A2 Inputs'!$C$8</f>
        <v>61923339.84375</v>
      </c>
      <c r="I181" s="94" t="n">
        <f aca="false">5500000*((1+'A2 Inputs'!$C$8)^7-1)/'A2 Inputs'!$C$8</f>
        <v>82904174.8046875</v>
      </c>
    </row>
    <row r="182" customFormat="false" ht="15" hidden="false" customHeight="true" outlineLevel="0" collapsed="false">
      <c r="B182" s="30" t="s">
        <v>297</v>
      </c>
      <c r="C182" s="94" t="n">
        <f aca="false">'A2 Inputs'!$C$21+('A2 Inputs'!$C$22-'A2 Inputs'!$C$21)*MIN(1,(0)/3)</f>
        <v>0.8</v>
      </c>
      <c r="D182" s="94" t="n">
        <f aca="false">'A2 Inputs'!$C$21+('A2 Inputs'!$C$22-'A2 Inputs'!$C$21)*MIN(1,(1)/3)</f>
        <v>0.856666666666667</v>
      </c>
      <c r="E182" s="94" t="n">
        <f aca="false">'A2 Inputs'!$C$21+('A2 Inputs'!$C$22-'A2 Inputs'!$C$21)*MIN(1,(2)/3)</f>
        <v>0.913333333333333</v>
      </c>
      <c r="F182" s="94" t="n">
        <f aca="false">'A2 Inputs'!$C$21+('A2 Inputs'!$C$22-'A2 Inputs'!$C$21)*MIN(1,(3)/3)</f>
        <v>0.97</v>
      </c>
      <c r="G182" s="94" t="n">
        <f aca="false">'A2 Inputs'!$C$21+('A2 Inputs'!$C$22-'A2 Inputs'!$C$21)*MIN(1,(4)/3)</f>
        <v>0.97</v>
      </c>
      <c r="H182" s="94" t="n">
        <f aca="false">'A2 Inputs'!$C$21+('A2 Inputs'!$C$22-'A2 Inputs'!$C$21)*MIN(1,(5)/3)</f>
        <v>0.97</v>
      </c>
      <c r="I182" s="94" t="n">
        <f aca="false">'A2 Inputs'!$C$21+('A2 Inputs'!$C$22-'A2 Inputs'!$C$21)*MIN(1,(6)/3)</f>
        <v>0.97</v>
      </c>
    </row>
    <row r="183" customFormat="false" ht="15" hidden="false" customHeight="true" outlineLevel="0" collapsed="false">
      <c r="B183" s="30" t="s">
        <v>298</v>
      </c>
      <c r="C183" s="94" t="n">
        <f aca="false">'A2 Inputs'!$C$19*((C181/5500000)^(LOG(0.82,2)))/C182</f>
        <v>4.5</v>
      </c>
      <c r="D183" s="94" t="n">
        <f aca="false">'A2 Inputs'!$C$19*((D181/5500000)^(LOG(0.82,2)))/D182</f>
        <v>3.33164947919598</v>
      </c>
      <c r="E183" s="94" t="n">
        <f aca="false">'A2 Inputs'!$C$19*((E181/5500000)^(LOG(0.82,2)))/E182</f>
        <v>2.68701678581753</v>
      </c>
      <c r="F183" s="94" t="n">
        <f aca="false">'A2 Inputs'!$C$19*((F181/5500000)^(LOG(0.82,2)))/F182</f>
        <v>2.24748737161961</v>
      </c>
      <c r="G183" s="94" t="n">
        <f aca="false">'A2 Inputs'!$C$19*((G181/5500000)^(LOG(0.82,2)))/G182</f>
        <v>2.03140007314655</v>
      </c>
      <c r="H183" s="94" t="n">
        <f aca="false">'A2 Inputs'!$C$19*((H181/5500000)^(LOG(0.82,2)))/H182</f>
        <v>1.85559971494632</v>
      </c>
      <c r="I183" s="94" t="n">
        <f aca="false">'A2 Inputs'!$C$19*((I181/5500000)^(LOG(0.82,2)))/I182</f>
        <v>1.70688102285712</v>
      </c>
    </row>
    <row r="184" customFormat="false" ht="15" hidden="false" customHeight="true" outlineLevel="0" collapsed="false">
      <c r="B184" s="30" t="s">
        <v>299</v>
      </c>
      <c r="C184" s="94" t="n">
        <f aca="false">C180*'A2 Inputs'!$C$13*(1+'A2 Inputs'!$C$14)^0</f>
        <v>24750000</v>
      </c>
      <c r="D184" s="94" t="n">
        <f aca="false">D180*'A2 Inputs'!$C$13*(1+'A2 Inputs'!$C$14)^1</f>
        <v>31865625</v>
      </c>
      <c r="E184" s="94" t="n">
        <f aca="false">E180*'A2 Inputs'!$C$13*(1+'A2 Inputs'!$C$14)^2</f>
        <v>41026992.1875</v>
      </c>
      <c r="F184" s="94" t="n">
        <f aca="false">F180*'A2 Inputs'!$C$13*(1+'A2 Inputs'!$C$14)^3</f>
        <v>52822252.4414063</v>
      </c>
      <c r="G184" s="94" t="n">
        <f aca="false">G180*'A2 Inputs'!$C$13*(1+'A2 Inputs'!$C$14)^4</f>
        <v>68008650.0183106</v>
      </c>
      <c r="H184" s="94" t="n">
        <f aca="false">H180*'A2 Inputs'!$C$13*(1+'A2 Inputs'!$C$14)^5</f>
        <v>87561136.8985748</v>
      </c>
      <c r="I184" s="94" t="n">
        <f aca="false">I180*'A2 Inputs'!$C$13*(1+'A2 Inputs'!$C$14)^6</f>
        <v>112734963.756915</v>
      </c>
    </row>
    <row r="185" customFormat="false" ht="15" hidden="false" customHeight="true" outlineLevel="0" collapsed="false">
      <c r="B185" s="30" t="s">
        <v>300</v>
      </c>
      <c r="C185" s="94" t="n">
        <f aca="false">C180*C183+'A2 Inputs'!$C$17*'A2 Inputs'!$C$23+'A2 Inputs'!$C$17</f>
        <v>61850000</v>
      </c>
      <c r="D185" s="94" t="n">
        <f aca="false">D180*D183+'A2 Inputs'!$C$17*'A2 Inputs'!$C$23</f>
        <v>25005090.1694724</v>
      </c>
      <c r="E185" s="94" t="n">
        <f aca="false">E180*E183+'A2 Inputs'!$C$17*'A2 Inputs'!$C$23</f>
        <v>25191550.5031194</v>
      </c>
      <c r="F185" s="94" t="n">
        <f aca="false">F180*F183+'A2 Inputs'!$C$17*'A2 Inputs'!$C$23</f>
        <v>26242930.74982</v>
      </c>
      <c r="G185" s="94" t="n">
        <f aca="false">G180*G183+'A2 Inputs'!$C$17*'A2 Inputs'!$C$23</f>
        <v>29377100.5915674</v>
      </c>
      <c r="H185" s="94" t="n">
        <f aca="false">H180*H183+'A2 Inputs'!$C$17*'A2 Inputs'!$C$23</f>
        <v>33245625.0982812</v>
      </c>
      <c r="I185" s="94" t="n">
        <f aca="false">I180*I183+'A2 Inputs'!$C$17*'A2 Inputs'!$C$23</f>
        <v>37911789.0385214</v>
      </c>
    </row>
    <row r="186" customFormat="false" ht="15" hidden="false" customHeight="true" outlineLevel="0" collapsed="false">
      <c r="B186" s="30" t="s">
        <v>301</v>
      </c>
      <c r="C186" s="94" t="n">
        <f aca="false">(C184-C185)/(1+'A2 Inputs'!$C$10)^1</f>
        <v>-33125000</v>
      </c>
      <c r="D186" s="94" t="n">
        <f aca="false">(D184-D185)/(1+'A2 Inputs'!$C$10)^2</f>
        <v>5469176.36362216</v>
      </c>
      <c r="E186" s="94" t="n">
        <f aca="false">(E184-E185)/(1+'A2 Inputs'!$C$10)^3</f>
        <v>11271354.6063432</v>
      </c>
      <c r="F186" s="94" t="n">
        <f aca="false">(F184-F185)/(1+'A2 Inputs'!$C$10)^4</f>
        <v>16891639.4467407</v>
      </c>
      <c r="G186" s="94" t="n">
        <f aca="false">(G184-G185)/(1+'A2 Inputs'!$C$10)^5</f>
        <v>21920578.6227545</v>
      </c>
      <c r="H186" s="94" t="n">
        <f aca="false">(H184-H185)/(1+'A2 Inputs'!$C$10)^6</f>
        <v>27517928.6407028</v>
      </c>
      <c r="I186" s="94" t="n">
        <f aca="false">(I184-I185)/(1+'A2 Inputs'!$C$10)^7</f>
        <v>33846204.3728807</v>
      </c>
    </row>
    <row r="188" customFormat="false" ht="15" hidden="false" customHeight="true" outlineLevel="0" collapsed="false">
      <c r="B188" s="70" t="s">
        <v>320</v>
      </c>
      <c r="C188" s="30" t="s">
        <v>288</v>
      </c>
      <c r="D188" s="30" t="s">
        <v>289</v>
      </c>
      <c r="E188" s="30" t="s">
        <v>290</v>
      </c>
      <c r="F188" s="30" t="s">
        <v>291</v>
      </c>
      <c r="G188" s="30" t="s">
        <v>292</v>
      </c>
      <c r="H188" s="30" t="s">
        <v>293</v>
      </c>
      <c r="I188" s="30" t="s">
        <v>294</v>
      </c>
    </row>
    <row r="189" customFormat="false" ht="15" hidden="false" customHeight="true" outlineLevel="0" collapsed="false">
      <c r="B189" s="30" t="s">
        <v>295</v>
      </c>
      <c r="C189" s="94" t="n">
        <f aca="false">8000000*(1+'A2 Inputs'!$C$8)^0</f>
        <v>8000000</v>
      </c>
      <c r="D189" s="94" t="n">
        <f aca="false">8000000*(1+'A2 Inputs'!$C$8)^1</f>
        <v>10000000</v>
      </c>
      <c r="E189" s="94" t="n">
        <f aca="false">8000000*(1+'A2 Inputs'!$C$8)^2</f>
        <v>12500000</v>
      </c>
      <c r="F189" s="94" t="n">
        <f aca="false">8000000*(1+'A2 Inputs'!$C$8)^3</f>
        <v>15625000</v>
      </c>
      <c r="G189" s="94" t="n">
        <f aca="false">8000000*(1+'A2 Inputs'!$C$8)^4</f>
        <v>19531250</v>
      </c>
      <c r="H189" s="94" t="n">
        <f aca="false">8000000*(1+'A2 Inputs'!$C$8)^5</f>
        <v>24414062.5</v>
      </c>
      <c r="I189" s="94" t="n">
        <f aca="false">8000000*(1+'A2 Inputs'!$C$8)^6</f>
        <v>30517578.125</v>
      </c>
    </row>
    <row r="190" customFormat="false" ht="15" hidden="false" customHeight="true" outlineLevel="0" collapsed="false">
      <c r="B190" s="30" t="s">
        <v>296</v>
      </c>
      <c r="C190" s="94" t="n">
        <f aca="false">8000000*((1+'A2 Inputs'!$C$8)^1-1)/'A2 Inputs'!$C$8</f>
        <v>8000000</v>
      </c>
      <c r="D190" s="94" t="n">
        <f aca="false">8000000*((1+'A2 Inputs'!$C$8)^2-1)/'A2 Inputs'!$C$8</f>
        <v>18000000</v>
      </c>
      <c r="E190" s="94" t="n">
        <f aca="false">8000000*((1+'A2 Inputs'!$C$8)^3-1)/'A2 Inputs'!$C$8</f>
        <v>30500000</v>
      </c>
      <c r="F190" s="94" t="n">
        <f aca="false">8000000*((1+'A2 Inputs'!$C$8)^4-1)/'A2 Inputs'!$C$8</f>
        <v>46125000</v>
      </c>
      <c r="G190" s="94" t="n">
        <f aca="false">8000000*((1+'A2 Inputs'!$C$8)^5-1)/'A2 Inputs'!$C$8</f>
        <v>65656250</v>
      </c>
      <c r="H190" s="94" t="n">
        <f aca="false">8000000*((1+'A2 Inputs'!$C$8)^6-1)/'A2 Inputs'!$C$8</f>
        <v>90070312.5</v>
      </c>
      <c r="I190" s="94" t="n">
        <f aca="false">8000000*((1+'A2 Inputs'!$C$8)^7-1)/'A2 Inputs'!$C$8</f>
        <v>120587890.625</v>
      </c>
    </row>
    <row r="191" customFormat="false" ht="15" hidden="false" customHeight="true" outlineLevel="0" collapsed="false">
      <c r="B191" s="30" t="s">
        <v>297</v>
      </c>
      <c r="C191" s="94" t="n">
        <f aca="false">'A2 Inputs'!$C$21+('A2 Inputs'!$C$22-'A2 Inputs'!$C$21)*MIN(1,(0)/3)</f>
        <v>0.8</v>
      </c>
      <c r="D191" s="94" t="n">
        <f aca="false">'A2 Inputs'!$C$21+('A2 Inputs'!$C$22-'A2 Inputs'!$C$21)*MIN(1,(1)/3)</f>
        <v>0.856666666666667</v>
      </c>
      <c r="E191" s="94" t="n">
        <f aca="false">'A2 Inputs'!$C$21+('A2 Inputs'!$C$22-'A2 Inputs'!$C$21)*MIN(1,(2)/3)</f>
        <v>0.913333333333333</v>
      </c>
      <c r="F191" s="94" t="n">
        <f aca="false">'A2 Inputs'!$C$21+('A2 Inputs'!$C$22-'A2 Inputs'!$C$21)*MIN(1,(3)/3)</f>
        <v>0.97</v>
      </c>
      <c r="G191" s="94" t="n">
        <f aca="false">'A2 Inputs'!$C$21+('A2 Inputs'!$C$22-'A2 Inputs'!$C$21)*MIN(1,(4)/3)</f>
        <v>0.97</v>
      </c>
      <c r="H191" s="94" t="n">
        <f aca="false">'A2 Inputs'!$C$21+('A2 Inputs'!$C$22-'A2 Inputs'!$C$21)*MIN(1,(5)/3)</f>
        <v>0.97</v>
      </c>
      <c r="I191" s="94" t="n">
        <f aca="false">'A2 Inputs'!$C$21+('A2 Inputs'!$C$22-'A2 Inputs'!$C$21)*MIN(1,(6)/3)</f>
        <v>0.97</v>
      </c>
    </row>
    <row r="192" customFormat="false" ht="15" hidden="false" customHeight="true" outlineLevel="0" collapsed="false">
      <c r="B192" s="30" t="s">
        <v>298</v>
      </c>
      <c r="C192" s="94" t="n">
        <f aca="false">'A2 Inputs'!$C$19*((C190/8000000)^(LOG(0.82,2)))/C191</f>
        <v>4.5</v>
      </c>
      <c r="D192" s="94" t="n">
        <f aca="false">'A2 Inputs'!$C$19*((D190/8000000)^(LOG(0.82,2)))/D191</f>
        <v>3.33164947919598</v>
      </c>
      <c r="E192" s="94" t="n">
        <f aca="false">'A2 Inputs'!$C$19*((E190/8000000)^(LOG(0.82,2)))/E191</f>
        <v>2.68701678581753</v>
      </c>
      <c r="F192" s="94" t="n">
        <f aca="false">'A2 Inputs'!$C$19*((F190/8000000)^(LOG(0.82,2)))/F191</f>
        <v>2.24748737161961</v>
      </c>
      <c r="G192" s="94" t="n">
        <f aca="false">'A2 Inputs'!$C$19*((G190/8000000)^(LOG(0.82,2)))/G191</f>
        <v>2.03140007314655</v>
      </c>
      <c r="H192" s="94" t="n">
        <f aca="false">'A2 Inputs'!$C$19*((H190/8000000)^(LOG(0.82,2)))/H191</f>
        <v>1.85559971494632</v>
      </c>
      <c r="I192" s="94" t="n">
        <f aca="false">'A2 Inputs'!$C$19*((I190/8000000)^(LOG(0.82,2)))/I191</f>
        <v>1.70688102285712</v>
      </c>
    </row>
    <row r="193" customFormat="false" ht="15" hidden="false" customHeight="true" outlineLevel="0" collapsed="false">
      <c r="B193" s="30" t="s">
        <v>299</v>
      </c>
      <c r="C193" s="94" t="n">
        <f aca="false">C189*'A2 Inputs'!$C$13*(1+'A2 Inputs'!$C$14)^0</f>
        <v>36000000</v>
      </c>
      <c r="D193" s="94" t="n">
        <f aca="false">D189*'A2 Inputs'!$C$13*(1+'A2 Inputs'!$C$14)^1</f>
        <v>46350000</v>
      </c>
      <c r="E193" s="94" t="n">
        <f aca="false">E189*'A2 Inputs'!$C$13*(1+'A2 Inputs'!$C$14)^2</f>
        <v>59675625</v>
      </c>
      <c r="F193" s="94" t="n">
        <f aca="false">F189*'A2 Inputs'!$C$13*(1+'A2 Inputs'!$C$14)^3</f>
        <v>76832367.1875</v>
      </c>
      <c r="G193" s="94" t="n">
        <f aca="false">G189*'A2 Inputs'!$C$13*(1+'A2 Inputs'!$C$14)^4</f>
        <v>98921672.7539063</v>
      </c>
      <c r="H193" s="94" t="n">
        <f aca="false">H189*'A2 Inputs'!$C$13*(1+'A2 Inputs'!$C$14)^5</f>
        <v>127361653.670654</v>
      </c>
      <c r="I193" s="94" t="n">
        <f aca="false">I189*'A2 Inputs'!$C$13*(1+'A2 Inputs'!$C$14)^6</f>
        <v>163978129.100967</v>
      </c>
    </row>
    <row r="194" customFormat="false" ht="15" hidden="false" customHeight="true" outlineLevel="0" collapsed="false">
      <c r="B194" s="30" t="s">
        <v>300</v>
      </c>
      <c r="C194" s="94" t="n">
        <f aca="false">C189*C192+'A2 Inputs'!$C$17*'A2 Inputs'!$C$23+'A2 Inputs'!$C$17</f>
        <v>73100000</v>
      </c>
      <c r="D194" s="94" t="n">
        <f aca="false">D189*D192+'A2 Inputs'!$C$17*'A2 Inputs'!$C$23</f>
        <v>35416494.7919598</v>
      </c>
      <c r="E194" s="94" t="n">
        <f aca="false">E189*E192+'A2 Inputs'!$C$17*'A2 Inputs'!$C$23</f>
        <v>35687709.8227192</v>
      </c>
      <c r="F194" s="94" t="n">
        <f aca="false">F189*F192+'A2 Inputs'!$C$17*'A2 Inputs'!$C$23</f>
        <v>37216990.1815564</v>
      </c>
      <c r="G194" s="94" t="n">
        <f aca="false">G189*G192+'A2 Inputs'!$C$17*'A2 Inputs'!$C$23</f>
        <v>41775782.6786435</v>
      </c>
      <c r="H194" s="94" t="n">
        <f aca="false">H189*H192+'A2 Inputs'!$C$17*'A2 Inputs'!$C$23</f>
        <v>47402727.4156817</v>
      </c>
      <c r="I194" s="94" t="n">
        <f aca="false">I189*I192+'A2 Inputs'!$C$17*'A2 Inputs'!$C$23</f>
        <v>54189874.9651221</v>
      </c>
    </row>
    <row r="195" customFormat="false" ht="15" hidden="false" customHeight="true" outlineLevel="0" collapsed="false">
      <c r="B195" s="30" t="s">
        <v>301</v>
      </c>
      <c r="C195" s="94" t="n">
        <f aca="false">(C193-C194)/(1+'A2 Inputs'!$C$10)^1</f>
        <v>-33125000</v>
      </c>
      <c r="D195" s="94" t="n">
        <f aca="false">(D193-D194)/(1+'A2 Inputs'!$C$10)^2</f>
        <v>8716123.41202184</v>
      </c>
      <c r="E195" s="94" t="n">
        <f aca="false">(E193-E194)/(1+'A2 Inputs'!$C$10)^3</f>
        <v>17074124.209412</v>
      </c>
      <c r="F195" s="94" t="n">
        <f aca="false">(F193-F194)/(1+'A2 Inputs'!$C$10)^4</f>
        <v>25176288.2701002</v>
      </c>
      <c r="G195" s="94" t="n">
        <f aca="false">(G193-G194)/(1+'A2 Inputs'!$C$10)^5</f>
        <v>32426112.7226471</v>
      </c>
      <c r="H195" s="94" t="n">
        <f aca="false">(H193-H194)/(1+'A2 Inputs'!$C$10)^6</f>
        <v>40509680.4566915</v>
      </c>
      <c r="I195" s="94" t="n">
        <f aca="false">(I193-I194)/(1+'A2 Inputs'!$C$10)^7</f>
        <v>49662630.6115571</v>
      </c>
    </row>
    <row r="197" customFormat="false" ht="15" hidden="false" customHeight="true" outlineLevel="0" collapsed="false">
      <c r="B197" s="70" t="s">
        <v>321</v>
      </c>
      <c r="C197" s="30" t="s">
        <v>288</v>
      </c>
      <c r="D197" s="30" t="s">
        <v>289</v>
      </c>
      <c r="E197" s="30" t="s">
        <v>290</v>
      </c>
      <c r="F197" s="30" t="s">
        <v>291</v>
      </c>
      <c r="G197" s="30" t="s">
        <v>292</v>
      </c>
      <c r="H197" s="30" t="s">
        <v>293</v>
      </c>
      <c r="I197" s="30" t="s">
        <v>294</v>
      </c>
    </row>
    <row r="198" customFormat="false" ht="15" hidden="false" customHeight="true" outlineLevel="0" collapsed="false">
      <c r="B198" s="30" t="s">
        <v>295</v>
      </c>
      <c r="C198" s="94" t="n">
        <f aca="false">1000000*(1+'A2 Inputs'!$C$8)^0</f>
        <v>1000000</v>
      </c>
      <c r="D198" s="94" t="n">
        <f aca="false">1000000*(1+'A2 Inputs'!$C$8)^1</f>
        <v>1250000</v>
      </c>
      <c r="E198" s="94" t="n">
        <f aca="false">1000000*(1+'A2 Inputs'!$C$8)^2</f>
        <v>1562500</v>
      </c>
      <c r="F198" s="94" t="n">
        <f aca="false">1000000*(1+'A2 Inputs'!$C$8)^3</f>
        <v>1953125</v>
      </c>
      <c r="G198" s="94" t="n">
        <f aca="false">1000000*(1+'A2 Inputs'!$C$8)^4</f>
        <v>2441406.25</v>
      </c>
      <c r="H198" s="94" t="n">
        <f aca="false">1000000*(1+'A2 Inputs'!$C$8)^5</f>
        <v>3051757.8125</v>
      </c>
      <c r="I198" s="94" t="n">
        <f aca="false">1000000*(1+'A2 Inputs'!$C$8)^6</f>
        <v>3814697.265625</v>
      </c>
    </row>
    <row r="199" customFormat="false" ht="15" hidden="false" customHeight="true" outlineLevel="0" collapsed="false">
      <c r="B199" s="30" t="s">
        <v>296</v>
      </c>
      <c r="C199" s="94" t="n">
        <f aca="false">1000000*((1+'A2 Inputs'!$C$8)^1-1)/'A2 Inputs'!$C$8</f>
        <v>1000000</v>
      </c>
      <c r="D199" s="94" t="n">
        <f aca="false">1000000*((1+'A2 Inputs'!$C$8)^2-1)/'A2 Inputs'!$C$8</f>
        <v>2250000</v>
      </c>
      <c r="E199" s="94" t="n">
        <f aca="false">1000000*((1+'A2 Inputs'!$C$8)^3-1)/'A2 Inputs'!$C$8</f>
        <v>3812500</v>
      </c>
      <c r="F199" s="94" t="n">
        <f aca="false">1000000*((1+'A2 Inputs'!$C$8)^4-1)/'A2 Inputs'!$C$8</f>
        <v>5765625</v>
      </c>
      <c r="G199" s="94" t="n">
        <f aca="false">1000000*((1+'A2 Inputs'!$C$8)^5-1)/'A2 Inputs'!$C$8</f>
        <v>8207031.25</v>
      </c>
      <c r="H199" s="94" t="n">
        <f aca="false">1000000*((1+'A2 Inputs'!$C$8)^6-1)/'A2 Inputs'!$C$8</f>
        <v>11258789.0625</v>
      </c>
      <c r="I199" s="94" t="n">
        <f aca="false">1000000*((1+'A2 Inputs'!$C$8)^7-1)/'A2 Inputs'!$C$8</f>
        <v>15073486.328125</v>
      </c>
    </row>
    <row r="200" customFormat="false" ht="15" hidden="false" customHeight="true" outlineLevel="0" collapsed="false">
      <c r="B200" s="30" t="s">
        <v>297</v>
      </c>
      <c r="C200" s="94" t="n">
        <f aca="false">'A2 Inputs'!$C$21+('A2 Inputs'!$C$22-'A2 Inputs'!$C$21)*MIN(1,(0)/3)</f>
        <v>0.8</v>
      </c>
      <c r="D200" s="94" t="n">
        <f aca="false">'A2 Inputs'!$C$21+('A2 Inputs'!$C$22-'A2 Inputs'!$C$21)*MIN(1,(1)/3)</f>
        <v>0.856666666666667</v>
      </c>
      <c r="E200" s="94" t="n">
        <f aca="false">'A2 Inputs'!$C$21+('A2 Inputs'!$C$22-'A2 Inputs'!$C$21)*MIN(1,(2)/3)</f>
        <v>0.913333333333333</v>
      </c>
      <c r="F200" s="94" t="n">
        <f aca="false">'A2 Inputs'!$C$21+('A2 Inputs'!$C$22-'A2 Inputs'!$C$21)*MIN(1,(3)/3)</f>
        <v>0.97</v>
      </c>
      <c r="G200" s="94" t="n">
        <f aca="false">'A2 Inputs'!$C$21+('A2 Inputs'!$C$22-'A2 Inputs'!$C$21)*MIN(1,(4)/3)</f>
        <v>0.97</v>
      </c>
      <c r="H200" s="94" t="n">
        <f aca="false">'A2 Inputs'!$C$21+('A2 Inputs'!$C$22-'A2 Inputs'!$C$21)*MIN(1,(5)/3)</f>
        <v>0.97</v>
      </c>
      <c r="I200" s="94" t="n">
        <f aca="false">'A2 Inputs'!$C$21+('A2 Inputs'!$C$22-'A2 Inputs'!$C$21)*MIN(1,(6)/3)</f>
        <v>0.97</v>
      </c>
    </row>
    <row r="201" customFormat="false" ht="15" hidden="false" customHeight="true" outlineLevel="0" collapsed="false">
      <c r="B201" s="30" t="s">
        <v>298</v>
      </c>
      <c r="C201" s="94" t="n">
        <f aca="false">'A2 Inputs'!$C$19*((C199/1000000)^(LOG(0.8,2)))/C200</f>
        <v>4.5</v>
      </c>
      <c r="D201" s="94" t="n">
        <f aca="false">'A2 Inputs'!$C$19*((D199/1000000)^(LOG(0.8,2)))/D200</f>
        <v>3.23678002317482</v>
      </c>
      <c r="E201" s="94" t="n">
        <f aca="false">'A2 Inputs'!$C$19*((E199/1000000)^(LOG(0.8,2)))/E200</f>
        <v>2.56191910381352</v>
      </c>
      <c r="F201" s="94" t="n">
        <f aca="false">'A2 Inputs'!$C$19*((F199/1000000)^(LOG(0.8,2)))/F200</f>
        <v>2.11150900040953</v>
      </c>
      <c r="G201" s="94" t="n">
        <f aca="false">'A2 Inputs'!$C$19*((G199/1000000)^(LOG(0.8,2)))/G200</f>
        <v>1.88464076667577</v>
      </c>
      <c r="H201" s="94" t="n">
        <f aca="false">'A2 Inputs'!$C$19*((H199/1000000)^(LOG(0.8,2)))/H200</f>
        <v>1.70226062012014</v>
      </c>
      <c r="I201" s="94" t="n">
        <f aca="false">'A2 Inputs'!$C$19*((I199/1000000)^(LOG(0.8,2)))/I200</f>
        <v>1.54963947537359</v>
      </c>
    </row>
    <row r="202" customFormat="false" ht="15" hidden="false" customHeight="true" outlineLevel="0" collapsed="false">
      <c r="B202" s="30" t="s">
        <v>299</v>
      </c>
      <c r="C202" s="94" t="n">
        <f aca="false">C198*'A2 Inputs'!$C$13*(1+'A2 Inputs'!$C$14)^0</f>
        <v>4500000</v>
      </c>
      <c r="D202" s="94" t="n">
        <f aca="false">D198*'A2 Inputs'!$C$13*(1+'A2 Inputs'!$C$14)^1</f>
        <v>5793750</v>
      </c>
      <c r="E202" s="94" t="n">
        <f aca="false">E198*'A2 Inputs'!$C$13*(1+'A2 Inputs'!$C$14)^2</f>
        <v>7459453.125</v>
      </c>
      <c r="F202" s="94" t="n">
        <f aca="false">F198*'A2 Inputs'!$C$13*(1+'A2 Inputs'!$C$14)^3</f>
        <v>9604045.8984375</v>
      </c>
      <c r="G202" s="94" t="n">
        <f aca="false">G198*'A2 Inputs'!$C$13*(1+'A2 Inputs'!$C$14)^4</f>
        <v>12365209.0942383</v>
      </c>
      <c r="H202" s="94" t="n">
        <f aca="false">H198*'A2 Inputs'!$C$13*(1+'A2 Inputs'!$C$14)^5</f>
        <v>15920206.7088318</v>
      </c>
      <c r="I202" s="94" t="n">
        <f aca="false">I198*'A2 Inputs'!$C$13*(1+'A2 Inputs'!$C$14)^6</f>
        <v>20497266.1376209</v>
      </c>
    </row>
    <row r="203" customFormat="false" ht="15" hidden="false" customHeight="true" outlineLevel="0" collapsed="false">
      <c r="B203" s="30" t="s">
        <v>300</v>
      </c>
      <c r="C203" s="94" t="n">
        <f aca="false">C198*C201+'A2 Inputs'!$C$17*'A2 Inputs'!$C$23+'A2 Inputs'!$C$17</f>
        <v>41600000</v>
      </c>
      <c r="D203" s="94" t="n">
        <f aca="false">D198*D201+'A2 Inputs'!$C$17*'A2 Inputs'!$C$23</f>
        <v>6145975.02896852</v>
      </c>
      <c r="E203" s="94" t="n">
        <f aca="false">E198*E201+'A2 Inputs'!$C$17*'A2 Inputs'!$C$23</f>
        <v>6102998.59970863</v>
      </c>
      <c r="F203" s="94" t="n">
        <f aca="false">F198*F201+'A2 Inputs'!$C$17*'A2 Inputs'!$C$23</f>
        <v>6224041.01642486</v>
      </c>
      <c r="G203" s="94" t="n">
        <f aca="false">G198*G201+'A2 Inputs'!$C$17*'A2 Inputs'!$C$23</f>
        <v>6701173.74676701</v>
      </c>
      <c r="H203" s="94" t="n">
        <f aca="false">H198*H201+'A2 Inputs'!$C$17*'A2 Inputs'!$C$23</f>
        <v>7294887.14636272</v>
      </c>
      <c r="I203" s="94" t="n">
        <f aca="false">I198*I201+'A2 Inputs'!$C$17*'A2 Inputs'!$C$23</f>
        <v>8011405.46941218</v>
      </c>
    </row>
    <row r="204" customFormat="false" ht="15" hidden="false" customHeight="true" outlineLevel="0" collapsed="false">
      <c r="B204" s="30" t="s">
        <v>301</v>
      </c>
      <c r="C204" s="94" t="n">
        <f aca="false">(C202-C203)/(1+'A2 Inputs'!$C$10)^1</f>
        <v>-33125000</v>
      </c>
      <c r="D204" s="94" t="n">
        <f aca="false">(D202-D203)/(1+'A2 Inputs'!$C$10)^2</f>
        <v>-280791.636613935</v>
      </c>
      <c r="E204" s="94" t="n">
        <f aca="false">(E202-E203)/(1+'A2 Inputs'!$C$10)^3</f>
        <v>965497.538159516</v>
      </c>
      <c r="F204" s="94" t="n">
        <f aca="false">(F202-F203)/(1+'A2 Inputs'!$C$10)^4</f>
        <v>2148054.20761562</v>
      </c>
      <c r="G204" s="94" t="n">
        <f aca="false">(G202-G203)/(1+'A2 Inputs'!$C$10)^5</f>
        <v>3213925.76789463</v>
      </c>
      <c r="H204" s="94" t="n">
        <f aca="false">(H202-H203)/(1+'A2 Inputs'!$C$10)^6</f>
        <v>4369855.32044638</v>
      </c>
      <c r="I204" s="94" t="n">
        <f aca="false">(I202-I203)/(1+'A2 Inputs'!$C$10)^7</f>
        <v>5647969.27607</v>
      </c>
    </row>
    <row r="206" customFormat="false" ht="15" hidden="false" customHeight="true" outlineLevel="0" collapsed="false">
      <c r="B206" s="70" t="s">
        <v>322</v>
      </c>
      <c r="C206" s="30" t="s">
        <v>288</v>
      </c>
      <c r="D206" s="30" t="s">
        <v>289</v>
      </c>
      <c r="E206" s="30" t="s">
        <v>290</v>
      </c>
      <c r="F206" s="30" t="s">
        <v>291</v>
      </c>
      <c r="G206" s="30" t="s">
        <v>292</v>
      </c>
      <c r="H206" s="30" t="s">
        <v>293</v>
      </c>
      <c r="I206" s="30" t="s">
        <v>294</v>
      </c>
    </row>
    <row r="207" customFormat="false" ht="15" hidden="false" customHeight="true" outlineLevel="0" collapsed="false">
      <c r="B207" s="30" t="s">
        <v>295</v>
      </c>
      <c r="C207" s="94" t="n">
        <f aca="false">2000000*(1+'A2 Inputs'!$C$8)^0</f>
        <v>2000000</v>
      </c>
      <c r="D207" s="94" t="n">
        <f aca="false">2000000*(1+'A2 Inputs'!$C$8)^1</f>
        <v>2500000</v>
      </c>
      <c r="E207" s="94" t="n">
        <f aca="false">2000000*(1+'A2 Inputs'!$C$8)^2</f>
        <v>3125000</v>
      </c>
      <c r="F207" s="94" t="n">
        <f aca="false">2000000*(1+'A2 Inputs'!$C$8)^3</f>
        <v>3906250</v>
      </c>
      <c r="G207" s="94" t="n">
        <f aca="false">2000000*(1+'A2 Inputs'!$C$8)^4</f>
        <v>4882812.5</v>
      </c>
      <c r="H207" s="94" t="n">
        <f aca="false">2000000*(1+'A2 Inputs'!$C$8)^5</f>
        <v>6103515.625</v>
      </c>
      <c r="I207" s="94" t="n">
        <f aca="false">2000000*(1+'A2 Inputs'!$C$8)^6</f>
        <v>7629394.53125</v>
      </c>
    </row>
    <row r="208" customFormat="false" ht="15" hidden="false" customHeight="true" outlineLevel="0" collapsed="false">
      <c r="B208" s="30" t="s">
        <v>296</v>
      </c>
      <c r="C208" s="94" t="n">
        <f aca="false">2000000*((1+'A2 Inputs'!$C$8)^1-1)/'A2 Inputs'!$C$8</f>
        <v>2000000</v>
      </c>
      <c r="D208" s="94" t="n">
        <f aca="false">2000000*((1+'A2 Inputs'!$C$8)^2-1)/'A2 Inputs'!$C$8</f>
        <v>4500000</v>
      </c>
      <c r="E208" s="94" t="n">
        <f aca="false">2000000*((1+'A2 Inputs'!$C$8)^3-1)/'A2 Inputs'!$C$8</f>
        <v>7625000</v>
      </c>
      <c r="F208" s="94" t="n">
        <f aca="false">2000000*((1+'A2 Inputs'!$C$8)^4-1)/'A2 Inputs'!$C$8</f>
        <v>11531250</v>
      </c>
      <c r="G208" s="94" t="n">
        <f aca="false">2000000*((1+'A2 Inputs'!$C$8)^5-1)/'A2 Inputs'!$C$8</f>
        <v>16414062.5</v>
      </c>
      <c r="H208" s="94" t="n">
        <f aca="false">2000000*((1+'A2 Inputs'!$C$8)^6-1)/'A2 Inputs'!$C$8</f>
        <v>22517578.125</v>
      </c>
      <c r="I208" s="94" t="n">
        <f aca="false">2000000*((1+'A2 Inputs'!$C$8)^7-1)/'A2 Inputs'!$C$8</f>
        <v>30146972.65625</v>
      </c>
    </row>
    <row r="209" customFormat="false" ht="15" hidden="false" customHeight="true" outlineLevel="0" collapsed="false">
      <c r="B209" s="30" t="s">
        <v>297</v>
      </c>
      <c r="C209" s="94" t="n">
        <f aca="false">'A2 Inputs'!$C$21+('A2 Inputs'!$C$22-'A2 Inputs'!$C$21)*MIN(1,(0)/3)</f>
        <v>0.8</v>
      </c>
      <c r="D209" s="94" t="n">
        <f aca="false">'A2 Inputs'!$C$21+('A2 Inputs'!$C$22-'A2 Inputs'!$C$21)*MIN(1,(1)/3)</f>
        <v>0.856666666666667</v>
      </c>
      <c r="E209" s="94" t="n">
        <f aca="false">'A2 Inputs'!$C$21+('A2 Inputs'!$C$22-'A2 Inputs'!$C$21)*MIN(1,(2)/3)</f>
        <v>0.913333333333333</v>
      </c>
      <c r="F209" s="94" t="n">
        <f aca="false">'A2 Inputs'!$C$21+('A2 Inputs'!$C$22-'A2 Inputs'!$C$21)*MIN(1,(3)/3)</f>
        <v>0.97</v>
      </c>
      <c r="G209" s="94" t="n">
        <f aca="false">'A2 Inputs'!$C$21+('A2 Inputs'!$C$22-'A2 Inputs'!$C$21)*MIN(1,(4)/3)</f>
        <v>0.97</v>
      </c>
      <c r="H209" s="94" t="n">
        <f aca="false">'A2 Inputs'!$C$21+('A2 Inputs'!$C$22-'A2 Inputs'!$C$21)*MIN(1,(5)/3)</f>
        <v>0.97</v>
      </c>
      <c r="I209" s="94" t="n">
        <f aca="false">'A2 Inputs'!$C$21+('A2 Inputs'!$C$22-'A2 Inputs'!$C$21)*MIN(1,(6)/3)</f>
        <v>0.97</v>
      </c>
    </row>
    <row r="210" customFormat="false" ht="15" hidden="false" customHeight="true" outlineLevel="0" collapsed="false">
      <c r="B210" s="30" t="s">
        <v>298</v>
      </c>
      <c r="C210" s="94" t="n">
        <f aca="false">'A2 Inputs'!$C$19*((C208/2000000)^(LOG(0.8,2)))/C209</f>
        <v>4.5</v>
      </c>
      <c r="D210" s="94" t="n">
        <f aca="false">'A2 Inputs'!$C$19*((D208/2000000)^(LOG(0.8,2)))/D209</f>
        <v>3.23678002317482</v>
      </c>
      <c r="E210" s="94" t="n">
        <f aca="false">'A2 Inputs'!$C$19*((E208/2000000)^(LOG(0.8,2)))/E209</f>
        <v>2.56191910381352</v>
      </c>
      <c r="F210" s="94" t="n">
        <f aca="false">'A2 Inputs'!$C$19*((F208/2000000)^(LOG(0.8,2)))/F209</f>
        <v>2.11150900040953</v>
      </c>
      <c r="G210" s="94" t="n">
        <f aca="false">'A2 Inputs'!$C$19*((G208/2000000)^(LOG(0.8,2)))/G209</f>
        <v>1.88464076667577</v>
      </c>
      <c r="H210" s="94" t="n">
        <f aca="false">'A2 Inputs'!$C$19*((H208/2000000)^(LOG(0.8,2)))/H209</f>
        <v>1.70226062012014</v>
      </c>
      <c r="I210" s="94" t="n">
        <f aca="false">'A2 Inputs'!$C$19*((I208/2000000)^(LOG(0.8,2)))/I209</f>
        <v>1.54963947537359</v>
      </c>
    </row>
    <row r="211" customFormat="false" ht="15" hidden="false" customHeight="true" outlineLevel="0" collapsed="false">
      <c r="B211" s="30" t="s">
        <v>299</v>
      </c>
      <c r="C211" s="94" t="n">
        <f aca="false">C207*'A2 Inputs'!$C$13*(1+'A2 Inputs'!$C$14)^0</f>
        <v>9000000</v>
      </c>
      <c r="D211" s="94" t="n">
        <f aca="false">D207*'A2 Inputs'!$C$13*(1+'A2 Inputs'!$C$14)^1</f>
        <v>11587500</v>
      </c>
      <c r="E211" s="94" t="n">
        <f aca="false">E207*'A2 Inputs'!$C$13*(1+'A2 Inputs'!$C$14)^2</f>
        <v>14918906.25</v>
      </c>
      <c r="F211" s="94" t="n">
        <f aca="false">F207*'A2 Inputs'!$C$13*(1+'A2 Inputs'!$C$14)^3</f>
        <v>19208091.796875</v>
      </c>
      <c r="G211" s="94" t="n">
        <f aca="false">G207*'A2 Inputs'!$C$13*(1+'A2 Inputs'!$C$14)^4</f>
        <v>24730418.1884766</v>
      </c>
      <c r="H211" s="94" t="n">
        <f aca="false">H207*'A2 Inputs'!$C$13*(1+'A2 Inputs'!$C$14)^5</f>
        <v>31840413.4176636</v>
      </c>
      <c r="I211" s="94" t="n">
        <f aca="false">I207*'A2 Inputs'!$C$13*(1+'A2 Inputs'!$C$14)^6</f>
        <v>40994532.2752419</v>
      </c>
    </row>
    <row r="212" customFormat="false" ht="15" hidden="false" customHeight="true" outlineLevel="0" collapsed="false">
      <c r="B212" s="30" t="s">
        <v>300</v>
      </c>
      <c r="C212" s="94" t="n">
        <f aca="false">C207*C210+'A2 Inputs'!$C$17*'A2 Inputs'!$C$23+'A2 Inputs'!$C$17</f>
        <v>46100000</v>
      </c>
      <c r="D212" s="94" t="n">
        <f aca="false">D207*D210+'A2 Inputs'!$C$17*'A2 Inputs'!$C$23</f>
        <v>10191950.057937</v>
      </c>
      <c r="E212" s="94" t="n">
        <f aca="false">E207*E210+'A2 Inputs'!$C$17*'A2 Inputs'!$C$23</f>
        <v>10105997.1994173</v>
      </c>
      <c r="F212" s="94" t="n">
        <f aca="false">F207*F210+'A2 Inputs'!$C$17*'A2 Inputs'!$C$23</f>
        <v>10348082.0328497</v>
      </c>
      <c r="G212" s="94" t="n">
        <f aca="false">G207*G210+'A2 Inputs'!$C$17*'A2 Inputs'!$C$23</f>
        <v>11302347.493534</v>
      </c>
      <c r="H212" s="94" t="n">
        <f aca="false">H207*H210+'A2 Inputs'!$C$17*'A2 Inputs'!$C$23</f>
        <v>12489774.2927254</v>
      </c>
      <c r="I212" s="94" t="n">
        <f aca="false">I207*I210+'A2 Inputs'!$C$17*'A2 Inputs'!$C$23</f>
        <v>13922810.9388244</v>
      </c>
    </row>
    <row r="213" customFormat="false" ht="15" hidden="false" customHeight="true" outlineLevel="0" collapsed="false">
      <c r="B213" s="30" t="s">
        <v>301</v>
      </c>
      <c r="C213" s="94" t="n">
        <f aca="false">(C211-C212)/(1+'A2 Inputs'!$C$10)^1</f>
        <v>-33125000</v>
      </c>
      <c r="D213" s="94" t="n">
        <f aca="false">(D211-D212)/(1+'A2 Inputs'!$C$10)^2</f>
        <v>1112523.86962927</v>
      </c>
      <c r="E213" s="94" t="n">
        <f aca="false">(E211-E212)/(1+'A2 Inputs'!$C$10)^3</f>
        <v>3425733.5967272</v>
      </c>
      <c r="F213" s="94" t="n">
        <f aca="false">(F211-F212)/(1+'A2 Inputs'!$C$10)^4</f>
        <v>5630696.37988138</v>
      </c>
      <c r="G213" s="94" t="n">
        <f aca="false">(G211-G212)/(1+'A2 Inputs'!$C$10)^5</f>
        <v>7619447.93279831</v>
      </c>
      <c r="H213" s="94" t="n">
        <f aca="false">(H211-H212)/(1+'A2 Inputs'!$C$10)^6</f>
        <v>9803635.99536514</v>
      </c>
      <c r="I213" s="94" t="n">
        <f aca="false">(I211-I212)/(1+'A2 Inputs'!$C$10)^7</f>
        <v>12245871.9043475</v>
      </c>
    </row>
    <row r="215" customFormat="false" ht="15" hidden="false" customHeight="true" outlineLevel="0" collapsed="false">
      <c r="B215" s="70" t="s">
        <v>323</v>
      </c>
      <c r="C215" s="30" t="s">
        <v>288</v>
      </c>
      <c r="D215" s="30" t="s">
        <v>289</v>
      </c>
      <c r="E215" s="30" t="s">
        <v>290</v>
      </c>
      <c r="F215" s="30" t="s">
        <v>291</v>
      </c>
      <c r="G215" s="30" t="s">
        <v>292</v>
      </c>
      <c r="H215" s="30" t="s">
        <v>293</v>
      </c>
      <c r="I215" s="30" t="s">
        <v>294</v>
      </c>
    </row>
    <row r="216" customFormat="false" ht="15" hidden="false" customHeight="true" outlineLevel="0" collapsed="false">
      <c r="B216" s="30" t="s">
        <v>295</v>
      </c>
      <c r="C216" s="94" t="n">
        <f aca="false">3500000*(1+'A2 Inputs'!$C$8)^0</f>
        <v>3500000</v>
      </c>
      <c r="D216" s="94" t="n">
        <f aca="false">3500000*(1+'A2 Inputs'!$C$8)^1</f>
        <v>4375000</v>
      </c>
      <c r="E216" s="94" t="n">
        <f aca="false">3500000*(1+'A2 Inputs'!$C$8)^2</f>
        <v>5468750</v>
      </c>
      <c r="F216" s="94" t="n">
        <f aca="false">3500000*(1+'A2 Inputs'!$C$8)^3</f>
        <v>6835937.5</v>
      </c>
      <c r="G216" s="94" t="n">
        <f aca="false">3500000*(1+'A2 Inputs'!$C$8)^4</f>
        <v>8544921.875</v>
      </c>
      <c r="H216" s="94" t="n">
        <f aca="false">3500000*(1+'A2 Inputs'!$C$8)^5</f>
        <v>10681152.34375</v>
      </c>
      <c r="I216" s="94" t="n">
        <f aca="false">3500000*(1+'A2 Inputs'!$C$8)^6</f>
        <v>13351440.4296875</v>
      </c>
    </row>
    <row r="217" customFormat="false" ht="15" hidden="false" customHeight="true" outlineLevel="0" collapsed="false">
      <c r="B217" s="30" t="s">
        <v>296</v>
      </c>
      <c r="C217" s="94" t="n">
        <f aca="false">3500000*((1+'A2 Inputs'!$C$8)^1-1)/'A2 Inputs'!$C$8</f>
        <v>3500000</v>
      </c>
      <c r="D217" s="94" t="n">
        <f aca="false">3500000*((1+'A2 Inputs'!$C$8)^2-1)/'A2 Inputs'!$C$8</f>
        <v>7875000</v>
      </c>
      <c r="E217" s="94" t="n">
        <f aca="false">3500000*((1+'A2 Inputs'!$C$8)^3-1)/'A2 Inputs'!$C$8</f>
        <v>13343750</v>
      </c>
      <c r="F217" s="94" t="n">
        <f aca="false">3500000*((1+'A2 Inputs'!$C$8)^4-1)/'A2 Inputs'!$C$8</f>
        <v>20179687.5</v>
      </c>
      <c r="G217" s="94" t="n">
        <f aca="false">3500000*((1+'A2 Inputs'!$C$8)^5-1)/'A2 Inputs'!$C$8</f>
        <v>28724609.375</v>
      </c>
      <c r="H217" s="94" t="n">
        <f aca="false">3500000*((1+'A2 Inputs'!$C$8)^6-1)/'A2 Inputs'!$C$8</f>
        <v>39405761.71875</v>
      </c>
      <c r="I217" s="94" t="n">
        <f aca="false">3500000*((1+'A2 Inputs'!$C$8)^7-1)/'A2 Inputs'!$C$8</f>
        <v>52757202.1484375</v>
      </c>
    </row>
    <row r="218" customFormat="false" ht="15" hidden="false" customHeight="true" outlineLevel="0" collapsed="false">
      <c r="B218" s="30" t="s">
        <v>297</v>
      </c>
      <c r="C218" s="94" t="n">
        <f aca="false">'A2 Inputs'!$C$21+('A2 Inputs'!$C$22-'A2 Inputs'!$C$21)*MIN(1,(0)/3)</f>
        <v>0.8</v>
      </c>
      <c r="D218" s="94" t="n">
        <f aca="false">'A2 Inputs'!$C$21+('A2 Inputs'!$C$22-'A2 Inputs'!$C$21)*MIN(1,(1)/3)</f>
        <v>0.856666666666667</v>
      </c>
      <c r="E218" s="94" t="n">
        <f aca="false">'A2 Inputs'!$C$21+('A2 Inputs'!$C$22-'A2 Inputs'!$C$21)*MIN(1,(2)/3)</f>
        <v>0.913333333333333</v>
      </c>
      <c r="F218" s="94" t="n">
        <f aca="false">'A2 Inputs'!$C$21+('A2 Inputs'!$C$22-'A2 Inputs'!$C$21)*MIN(1,(3)/3)</f>
        <v>0.97</v>
      </c>
      <c r="G218" s="94" t="n">
        <f aca="false">'A2 Inputs'!$C$21+('A2 Inputs'!$C$22-'A2 Inputs'!$C$21)*MIN(1,(4)/3)</f>
        <v>0.97</v>
      </c>
      <c r="H218" s="94" t="n">
        <f aca="false">'A2 Inputs'!$C$21+('A2 Inputs'!$C$22-'A2 Inputs'!$C$21)*MIN(1,(5)/3)</f>
        <v>0.97</v>
      </c>
      <c r="I218" s="94" t="n">
        <f aca="false">'A2 Inputs'!$C$21+('A2 Inputs'!$C$22-'A2 Inputs'!$C$21)*MIN(1,(6)/3)</f>
        <v>0.97</v>
      </c>
    </row>
    <row r="219" customFormat="false" ht="15" hidden="false" customHeight="true" outlineLevel="0" collapsed="false">
      <c r="B219" s="30" t="s">
        <v>298</v>
      </c>
      <c r="C219" s="94" t="n">
        <f aca="false">'A2 Inputs'!$C$19*((C217/3500000)^(LOG(0.8,2)))/C218</f>
        <v>4.5</v>
      </c>
      <c r="D219" s="94" t="n">
        <f aca="false">'A2 Inputs'!$C$19*((D217/3500000)^(LOG(0.8,2)))/D218</f>
        <v>3.23678002317482</v>
      </c>
      <c r="E219" s="94" t="n">
        <f aca="false">'A2 Inputs'!$C$19*((E217/3500000)^(LOG(0.8,2)))/E218</f>
        <v>2.56191910381352</v>
      </c>
      <c r="F219" s="94" t="n">
        <f aca="false">'A2 Inputs'!$C$19*((F217/3500000)^(LOG(0.8,2)))/F218</f>
        <v>2.11150900040953</v>
      </c>
      <c r="G219" s="94" t="n">
        <f aca="false">'A2 Inputs'!$C$19*((G217/3500000)^(LOG(0.8,2)))/G218</f>
        <v>1.88464076667577</v>
      </c>
      <c r="H219" s="94" t="n">
        <f aca="false">'A2 Inputs'!$C$19*((H217/3500000)^(LOG(0.8,2)))/H218</f>
        <v>1.70226062012014</v>
      </c>
      <c r="I219" s="94" t="n">
        <f aca="false">'A2 Inputs'!$C$19*((I217/3500000)^(LOG(0.8,2)))/I218</f>
        <v>1.54963947537359</v>
      </c>
    </row>
    <row r="220" customFormat="false" ht="15" hidden="false" customHeight="true" outlineLevel="0" collapsed="false">
      <c r="B220" s="30" t="s">
        <v>299</v>
      </c>
      <c r="C220" s="94" t="n">
        <f aca="false">C216*'A2 Inputs'!$C$13*(1+'A2 Inputs'!$C$14)^0</f>
        <v>15750000</v>
      </c>
      <c r="D220" s="94" t="n">
        <f aca="false">D216*'A2 Inputs'!$C$13*(1+'A2 Inputs'!$C$14)^1</f>
        <v>20278125</v>
      </c>
      <c r="E220" s="94" t="n">
        <f aca="false">E216*'A2 Inputs'!$C$13*(1+'A2 Inputs'!$C$14)^2</f>
        <v>26108085.9375</v>
      </c>
      <c r="F220" s="94" t="n">
        <f aca="false">F216*'A2 Inputs'!$C$13*(1+'A2 Inputs'!$C$14)^3</f>
        <v>33614160.6445313</v>
      </c>
      <c r="G220" s="94" t="n">
        <f aca="false">G216*'A2 Inputs'!$C$13*(1+'A2 Inputs'!$C$14)^4</f>
        <v>43278231.829834</v>
      </c>
      <c r="H220" s="94" t="n">
        <f aca="false">H216*'A2 Inputs'!$C$13*(1+'A2 Inputs'!$C$14)^5</f>
        <v>55720723.4809113</v>
      </c>
      <c r="I220" s="94" t="n">
        <f aca="false">I216*'A2 Inputs'!$C$13*(1+'A2 Inputs'!$C$14)^6</f>
        <v>71740431.4816733</v>
      </c>
    </row>
    <row r="221" customFormat="false" ht="15" hidden="false" customHeight="true" outlineLevel="0" collapsed="false">
      <c r="B221" s="30" t="s">
        <v>300</v>
      </c>
      <c r="C221" s="94" t="n">
        <f aca="false">C216*C219+'A2 Inputs'!$C$17*'A2 Inputs'!$C$23+'A2 Inputs'!$C$17</f>
        <v>52850000</v>
      </c>
      <c r="D221" s="94" t="n">
        <f aca="false">D216*D219+'A2 Inputs'!$C$17*'A2 Inputs'!$C$23</f>
        <v>16260912.6013898</v>
      </c>
      <c r="E221" s="94" t="n">
        <f aca="false">E216*E219+'A2 Inputs'!$C$17*'A2 Inputs'!$C$23</f>
        <v>16110495.0989802</v>
      </c>
      <c r="F221" s="94" t="n">
        <f aca="false">F216*F219+'A2 Inputs'!$C$17*'A2 Inputs'!$C$23</f>
        <v>16534143.557487</v>
      </c>
      <c r="G221" s="94" t="n">
        <f aca="false">G216*G219+'A2 Inputs'!$C$17*'A2 Inputs'!$C$23</f>
        <v>18204108.1136846</v>
      </c>
      <c r="H221" s="94" t="n">
        <f aca="false">H216*H219+'A2 Inputs'!$C$17*'A2 Inputs'!$C$23</f>
        <v>20282105.0122695</v>
      </c>
      <c r="I221" s="94" t="n">
        <f aca="false">I216*I219+'A2 Inputs'!$C$17*'A2 Inputs'!$C$23</f>
        <v>22789919.1429426</v>
      </c>
    </row>
    <row r="222" customFormat="false" ht="15" hidden="false" customHeight="true" outlineLevel="0" collapsed="false">
      <c r="B222" s="30" t="s">
        <v>301</v>
      </c>
      <c r="C222" s="94" t="n">
        <f aca="false">(C220-C221)/(1+'A2 Inputs'!$C$10)^1</f>
        <v>-33125000</v>
      </c>
      <c r="D222" s="94" t="n">
        <f aca="false">(D220-D221)/(1+'A2 Inputs'!$C$10)^2</f>
        <v>3202497.12899408</v>
      </c>
      <c r="E222" s="94" t="n">
        <f aca="false">(E220-E221)/(1+'A2 Inputs'!$C$10)^3</f>
        <v>7116087.68457871</v>
      </c>
      <c r="F222" s="94" t="n">
        <f aca="false">(F220-F221)/(1+'A2 Inputs'!$C$10)^4</f>
        <v>10854659.63828</v>
      </c>
      <c r="G222" s="94" t="n">
        <f aca="false">(G220-G221)/(1+'A2 Inputs'!$C$10)^5</f>
        <v>14227731.1801538</v>
      </c>
      <c r="H222" s="94" t="n">
        <f aca="false">(H220-H221)/(1+'A2 Inputs'!$C$10)^6</f>
        <v>17954307.0077433</v>
      </c>
      <c r="I222" s="94" t="n">
        <f aca="false">(I220-I221)/(1+'A2 Inputs'!$C$10)^7</f>
        <v>22142725.8467637</v>
      </c>
    </row>
    <row r="224" customFormat="false" ht="15" hidden="false" customHeight="true" outlineLevel="0" collapsed="false">
      <c r="B224" s="70" t="s">
        <v>324</v>
      </c>
      <c r="C224" s="30" t="s">
        <v>288</v>
      </c>
      <c r="D224" s="30" t="s">
        <v>289</v>
      </c>
      <c r="E224" s="30" t="s">
        <v>290</v>
      </c>
      <c r="F224" s="30" t="s">
        <v>291</v>
      </c>
      <c r="G224" s="30" t="s">
        <v>292</v>
      </c>
      <c r="H224" s="30" t="s">
        <v>293</v>
      </c>
      <c r="I224" s="30" t="s">
        <v>294</v>
      </c>
    </row>
    <row r="225" customFormat="false" ht="15" hidden="false" customHeight="true" outlineLevel="0" collapsed="false">
      <c r="B225" s="30" t="s">
        <v>295</v>
      </c>
      <c r="C225" s="94" t="n">
        <f aca="false">5500000*(1+'A2 Inputs'!$C$8)^0</f>
        <v>5500000</v>
      </c>
      <c r="D225" s="94" t="n">
        <f aca="false">5500000*(1+'A2 Inputs'!$C$8)^1</f>
        <v>6875000</v>
      </c>
      <c r="E225" s="94" t="n">
        <f aca="false">5500000*(1+'A2 Inputs'!$C$8)^2</f>
        <v>8593750</v>
      </c>
      <c r="F225" s="94" t="n">
        <f aca="false">5500000*(1+'A2 Inputs'!$C$8)^3</f>
        <v>10742187.5</v>
      </c>
      <c r="G225" s="94" t="n">
        <f aca="false">5500000*(1+'A2 Inputs'!$C$8)^4</f>
        <v>13427734.375</v>
      </c>
      <c r="H225" s="94" t="n">
        <f aca="false">5500000*(1+'A2 Inputs'!$C$8)^5</f>
        <v>16784667.96875</v>
      </c>
      <c r="I225" s="94" t="n">
        <f aca="false">5500000*(1+'A2 Inputs'!$C$8)^6</f>
        <v>20980834.9609375</v>
      </c>
    </row>
    <row r="226" customFormat="false" ht="15" hidden="false" customHeight="true" outlineLevel="0" collapsed="false">
      <c r="B226" s="30" t="s">
        <v>296</v>
      </c>
      <c r="C226" s="94" t="n">
        <f aca="false">5500000*((1+'A2 Inputs'!$C$8)^1-1)/'A2 Inputs'!$C$8</f>
        <v>5500000</v>
      </c>
      <c r="D226" s="94" t="n">
        <f aca="false">5500000*((1+'A2 Inputs'!$C$8)^2-1)/'A2 Inputs'!$C$8</f>
        <v>12375000</v>
      </c>
      <c r="E226" s="94" t="n">
        <f aca="false">5500000*((1+'A2 Inputs'!$C$8)^3-1)/'A2 Inputs'!$C$8</f>
        <v>20968750</v>
      </c>
      <c r="F226" s="94" t="n">
        <f aca="false">5500000*((1+'A2 Inputs'!$C$8)^4-1)/'A2 Inputs'!$C$8</f>
        <v>31710937.5</v>
      </c>
      <c r="G226" s="94" t="n">
        <f aca="false">5500000*((1+'A2 Inputs'!$C$8)^5-1)/'A2 Inputs'!$C$8</f>
        <v>45138671.875</v>
      </c>
      <c r="H226" s="94" t="n">
        <f aca="false">5500000*((1+'A2 Inputs'!$C$8)^6-1)/'A2 Inputs'!$C$8</f>
        <v>61923339.84375</v>
      </c>
      <c r="I226" s="94" t="n">
        <f aca="false">5500000*((1+'A2 Inputs'!$C$8)^7-1)/'A2 Inputs'!$C$8</f>
        <v>82904174.8046875</v>
      </c>
    </row>
    <row r="227" customFormat="false" ht="15" hidden="false" customHeight="true" outlineLevel="0" collapsed="false">
      <c r="B227" s="30" t="s">
        <v>297</v>
      </c>
      <c r="C227" s="94" t="n">
        <f aca="false">'A2 Inputs'!$C$21+('A2 Inputs'!$C$22-'A2 Inputs'!$C$21)*MIN(1,(0)/3)</f>
        <v>0.8</v>
      </c>
      <c r="D227" s="94" t="n">
        <f aca="false">'A2 Inputs'!$C$21+('A2 Inputs'!$C$22-'A2 Inputs'!$C$21)*MIN(1,(1)/3)</f>
        <v>0.856666666666667</v>
      </c>
      <c r="E227" s="94" t="n">
        <f aca="false">'A2 Inputs'!$C$21+('A2 Inputs'!$C$22-'A2 Inputs'!$C$21)*MIN(1,(2)/3)</f>
        <v>0.913333333333333</v>
      </c>
      <c r="F227" s="94" t="n">
        <f aca="false">'A2 Inputs'!$C$21+('A2 Inputs'!$C$22-'A2 Inputs'!$C$21)*MIN(1,(3)/3)</f>
        <v>0.97</v>
      </c>
      <c r="G227" s="94" t="n">
        <f aca="false">'A2 Inputs'!$C$21+('A2 Inputs'!$C$22-'A2 Inputs'!$C$21)*MIN(1,(4)/3)</f>
        <v>0.97</v>
      </c>
      <c r="H227" s="94" t="n">
        <f aca="false">'A2 Inputs'!$C$21+('A2 Inputs'!$C$22-'A2 Inputs'!$C$21)*MIN(1,(5)/3)</f>
        <v>0.97</v>
      </c>
      <c r="I227" s="94" t="n">
        <f aca="false">'A2 Inputs'!$C$21+('A2 Inputs'!$C$22-'A2 Inputs'!$C$21)*MIN(1,(6)/3)</f>
        <v>0.97</v>
      </c>
    </row>
    <row r="228" customFormat="false" ht="15" hidden="false" customHeight="true" outlineLevel="0" collapsed="false">
      <c r="B228" s="30" t="s">
        <v>298</v>
      </c>
      <c r="C228" s="94" t="n">
        <f aca="false">'A2 Inputs'!$C$19*((C226/5500000)^(LOG(0.8,2)))/C227</f>
        <v>4.5</v>
      </c>
      <c r="D228" s="94" t="n">
        <f aca="false">'A2 Inputs'!$C$19*((D226/5500000)^(LOG(0.8,2)))/D227</f>
        <v>3.23678002317482</v>
      </c>
      <c r="E228" s="94" t="n">
        <f aca="false">'A2 Inputs'!$C$19*((E226/5500000)^(LOG(0.8,2)))/E227</f>
        <v>2.56191910381352</v>
      </c>
      <c r="F228" s="94" t="n">
        <f aca="false">'A2 Inputs'!$C$19*((F226/5500000)^(LOG(0.8,2)))/F227</f>
        <v>2.11150900040953</v>
      </c>
      <c r="G228" s="94" t="n">
        <f aca="false">'A2 Inputs'!$C$19*((G226/5500000)^(LOG(0.8,2)))/G227</f>
        <v>1.88464076667577</v>
      </c>
      <c r="H228" s="94" t="n">
        <f aca="false">'A2 Inputs'!$C$19*((H226/5500000)^(LOG(0.8,2)))/H227</f>
        <v>1.70226062012014</v>
      </c>
      <c r="I228" s="94" t="n">
        <f aca="false">'A2 Inputs'!$C$19*((I226/5500000)^(LOG(0.8,2)))/I227</f>
        <v>1.54963947537359</v>
      </c>
    </row>
    <row r="229" customFormat="false" ht="15" hidden="false" customHeight="true" outlineLevel="0" collapsed="false">
      <c r="B229" s="30" t="s">
        <v>299</v>
      </c>
      <c r="C229" s="94" t="n">
        <f aca="false">C225*'A2 Inputs'!$C$13*(1+'A2 Inputs'!$C$14)^0</f>
        <v>24750000</v>
      </c>
      <c r="D229" s="94" t="n">
        <f aca="false">D225*'A2 Inputs'!$C$13*(1+'A2 Inputs'!$C$14)^1</f>
        <v>31865625</v>
      </c>
      <c r="E229" s="94" t="n">
        <f aca="false">E225*'A2 Inputs'!$C$13*(1+'A2 Inputs'!$C$14)^2</f>
        <v>41026992.1875</v>
      </c>
      <c r="F229" s="94" t="n">
        <f aca="false">F225*'A2 Inputs'!$C$13*(1+'A2 Inputs'!$C$14)^3</f>
        <v>52822252.4414063</v>
      </c>
      <c r="G229" s="94" t="n">
        <f aca="false">G225*'A2 Inputs'!$C$13*(1+'A2 Inputs'!$C$14)^4</f>
        <v>68008650.0183106</v>
      </c>
      <c r="H229" s="94" t="n">
        <f aca="false">H225*'A2 Inputs'!$C$13*(1+'A2 Inputs'!$C$14)^5</f>
        <v>87561136.8985748</v>
      </c>
      <c r="I229" s="94" t="n">
        <f aca="false">I225*'A2 Inputs'!$C$13*(1+'A2 Inputs'!$C$14)^6</f>
        <v>112734963.756915</v>
      </c>
    </row>
    <row r="230" customFormat="false" ht="15" hidden="false" customHeight="true" outlineLevel="0" collapsed="false">
      <c r="B230" s="30" t="s">
        <v>300</v>
      </c>
      <c r="C230" s="94" t="n">
        <f aca="false">C225*C228+'A2 Inputs'!$C$17*'A2 Inputs'!$C$23+'A2 Inputs'!$C$17</f>
        <v>61850000</v>
      </c>
      <c r="D230" s="94" t="n">
        <f aca="false">D225*D228+'A2 Inputs'!$C$17*'A2 Inputs'!$C$23</f>
        <v>24352862.6593269</v>
      </c>
      <c r="E230" s="94" t="n">
        <f aca="false">E225*E228+'A2 Inputs'!$C$17*'A2 Inputs'!$C$23</f>
        <v>24116492.2983974</v>
      </c>
      <c r="F230" s="94" t="n">
        <f aca="false">F225*F228+'A2 Inputs'!$C$17*'A2 Inputs'!$C$23</f>
        <v>24782225.5903368</v>
      </c>
      <c r="G230" s="94" t="n">
        <f aca="false">G225*G228+'A2 Inputs'!$C$17*'A2 Inputs'!$C$23</f>
        <v>27406455.6072186</v>
      </c>
      <c r="H230" s="94" t="n">
        <f aca="false">H225*H228+'A2 Inputs'!$C$17*'A2 Inputs'!$C$23</f>
        <v>30671879.304995</v>
      </c>
      <c r="I230" s="94" t="n">
        <f aca="false">I225*I228+'A2 Inputs'!$C$17*'A2 Inputs'!$C$23</f>
        <v>34612730.081767</v>
      </c>
    </row>
    <row r="231" customFormat="false" ht="15" hidden="false" customHeight="true" outlineLevel="0" collapsed="false">
      <c r="B231" s="30" t="s">
        <v>301</v>
      </c>
      <c r="C231" s="94" t="n">
        <f aca="false">(C229-C230)/(1+'A2 Inputs'!$C$10)^1</f>
        <v>-33125000</v>
      </c>
      <c r="D231" s="94" t="n">
        <f aca="false">(D229-D230)/(1+'A2 Inputs'!$C$10)^2</f>
        <v>5989128.1414805</v>
      </c>
      <c r="E231" s="94" t="n">
        <f aca="false">(E229-E230)/(1+'A2 Inputs'!$C$10)^3</f>
        <v>12036559.8017141</v>
      </c>
      <c r="F231" s="94" t="n">
        <f aca="false">(F229-F230)/(1+'A2 Inputs'!$C$10)^4</f>
        <v>17819943.9828116</v>
      </c>
      <c r="G231" s="94" t="n">
        <f aca="false">(G229-G230)/(1+'A2 Inputs'!$C$10)^5</f>
        <v>23038775.5099612</v>
      </c>
      <c r="H231" s="94" t="n">
        <f aca="false">(H229-H230)/(1+'A2 Inputs'!$C$10)^6</f>
        <v>28821868.3575808</v>
      </c>
      <c r="I231" s="94" t="n">
        <f aca="false">(I229-I230)/(1+'A2 Inputs'!$C$10)^7</f>
        <v>35338531.1033187</v>
      </c>
    </row>
    <row r="233" customFormat="false" ht="15" hidden="false" customHeight="true" outlineLevel="0" collapsed="false">
      <c r="B233" s="70" t="s">
        <v>325</v>
      </c>
      <c r="C233" s="30" t="s">
        <v>288</v>
      </c>
      <c r="D233" s="30" t="s">
        <v>289</v>
      </c>
      <c r="E233" s="30" t="s">
        <v>290</v>
      </c>
      <c r="F233" s="30" t="s">
        <v>291</v>
      </c>
      <c r="G233" s="30" t="s">
        <v>292</v>
      </c>
      <c r="H233" s="30" t="s">
        <v>293</v>
      </c>
      <c r="I233" s="30" t="s">
        <v>294</v>
      </c>
    </row>
    <row r="234" customFormat="false" ht="15" hidden="false" customHeight="true" outlineLevel="0" collapsed="false">
      <c r="B234" s="30" t="s">
        <v>295</v>
      </c>
      <c r="C234" s="94" t="n">
        <f aca="false">8000000*(1+'A2 Inputs'!$C$8)^0</f>
        <v>8000000</v>
      </c>
      <c r="D234" s="94" t="n">
        <f aca="false">8000000*(1+'A2 Inputs'!$C$8)^1</f>
        <v>10000000</v>
      </c>
      <c r="E234" s="94" t="n">
        <f aca="false">8000000*(1+'A2 Inputs'!$C$8)^2</f>
        <v>12500000</v>
      </c>
      <c r="F234" s="94" t="n">
        <f aca="false">8000000*(1+'A2 Inputs'!$C$8)^3</f>
        <v>15625000</v>
      </c>
      <c r="G234" s="94" t="n">
        <f aca="false">8000000*(1+'A2 Inputs'!$C$8)^4</f>
        <v>19531250</v>
      </c>
      <c r="H234" s="94" t="n">
        <f aca="false">8000000*(1+'A2 Inputs'!$C$8)^5</f>
        <v>24414062.5</v>
      </c>
      <c r="I234" s="94" t="n">
        <f aca="false">8000000*(1+'A2 Inputs'!$C$8)^6</f>
        <v>30517578.125</v>
      </c>
    </row>
    <row r="235" customFormat="false" ht="15" hidden="false" customHeight="true" outlineLevel="0" collapsed="false">
      <c r="B235" s="30" t="s">
        <v>296</v>
      </c>
      <c r="C235" s="94" t="n">
        <f aca="false">8000000*((1+'A2 Inputs'!$C$8)^1-1)/'A2 Inputs'!$C$8</f>
        <v>8000000</v>
      </c>
      <c r="D235" s="94" t="n">
        <f aca="false">8000000*((1+'A2 Inputs'!$C$8)^2-1)/'A2 Inputs'!$C$8</f>
        <v>18000000</v>
      </c>
      <c r="E235" s="94" t="n">
        <f aca="false">8000000*((1+'A2 Inputs'!$C$8)^3-1)/'A2 Inputs'!$C$8</f>
        <v>30500000</v>
      </c>
      <c r="F235" s="94" t="n">
        <f aca="false">8000000*((1+'A2 Inputs'!$C$8)^4-1)/'A2 Inputs'!$C$8</f>
        <v>46125000</v>
      </c>
      <c r="G235" s="94" t="n">
        <f aca="false">8000000*((1+'A2 Inputs'!$C$8)^5-1)/'A2 Inputs'!$C$8</f>
        <v>65656250</v>
      </c>
      <c r="H235" s="94" t="n">
        <f aca="false">8000000*((1+'A2 Inputs'!$C$8)^6-1)/'A2 Inputs'!$C$8</f>
        <v>90070312.5</v>
      </c>
      <c r="I235" s="94" t="n">
        <f aca="false">8000000*((1+'A2 Inputs'!$C$8)^7-1)/'A2 Inputs'!$C$8</f>
        <v>120587890.625</v>
      </c>
    </row>
    <row r="236" customFormat="false" ht="15" hidden="false" customHeight="true" outlineLevel="0" collapsed="false">
      <c r="B236" s="30" t="s">
        <v>297</v>
      </c>
      <c r="C236" s="94" t="n">
        <f aca="false">'A2 Inputs'!$C$21+('A2 Inputs'!$C$22-'A2 Inputs'!$C$21)*MIN(1,(0)/3)</f>
        <v>0.8</v>
      </c>
      <c r="D236" s="94" t="n">
        <f aca="false">'A2 Inputs'!$C$21+('A2 Inputs'!$C$22-'A2 Inputs'!$C$21)*MIN(1,(1)/3)</f>
        <v>0.856666666666667</v>
      </c>
      <c r="E236" s="94" t="n">
        <f aca="false">'A2 Inputs'!$C$21+('A2 Inputs'!$C$22-'A2 Inputs'!$C$21)*MIN(1,(2)/3)</f>
        <v>0.913333333333333</v>
      </c>
      <c r="F236" s="94" t="n">
        <f aca="false">'A2 Inputs'!$C$21+('A2 Inputs'!$C$22-'A2 Inputs'!$C$21)*MIN(1,(3)/3)</f>
        <v>0.97</v>
      </c>
      <c r="G236" s="94" t="n">
        <f aca="false">'A2 Inputs'!$C$21+('A2 Inputs'!$C$22-'A2 Inputs'!$C$21)*MIN(1,(4)/3)</f>
        <v>0.97</v>
      </c>
      <c r="H236" s="94" t="n">
        <f aca="false">'A2 Inputs'!$C$21+('A2 Inputs'!$C$22-'A2 Inputs'!$C$21)*MIN(1,(5)/3)</f>
        <v>0.97</v>
      </c>
      <c r="I236" s="94" t="n">
        <f aca="false">'A2 Inputs'!$C$21+('A2 Inputs'!$C$22-'A2 Inputs'!$C$21)*MIN(1,(6)/3)</f>
        <v>0.97</v>
      </c>
    </row>
    <row r="237" customFormat="false" ht="15" hidden="false" customHeight="true" outlineLevel="0" collapsed="false">
      <c r="B237" s="30" t="s">
        <v>298</v>
      </c>
      <c r="C237" s="94" t="n">
        <f aca="false">'A2 Inputs'!$C$19*((C235/8000000)^(LOG(0.8,2)))/C236</f>
        <v>4.5</v>
      </c>
      <c r="D237" s="94" t="n">
        <f aca="false">'A2 Inputs'!$C$19*((D235/8000000)^(LOG(0.8,2)))/D236</f>
        <v>3.23678002317482</v>
      </c>
      <c r="E237" s="94" t="n">
        <f aca="false">'A2 Inputs'!$C$19*((E235/8000000)^(LOG(0.8,2)))/E236</f>
        <v>2.56191910381352</v>
      </c>
      <c r="F237" s="94" t="n">
        <f aca="false">'A2 Inputs'!$C$19*((F235/8000000)^(LOG(0.8,2)))/F236</f>
        <v>2.11150900040953</v>
      </c>
      <c r="G237" s="94" t="n">
        <f aca="false">'A2 Inputs'!$C$19*((G235/8000000)^(LOG(0.8,2)))/G236</f>
        <v>1.88464076667577</v>
      </c>
      <c r="H237" s="94" t="n">
        <f aca="false">'A2 Inputs'!$C$19*((H235/8000000)^(LOG(0.8,2)))/H236</f>
        <v>1.70226062012014</v>
      </c>
      <c r="I237" s="94" t="n">
        <f aca="false">'A2 Inputs'!$C$19*((I235/8000000)^(LOG(0.8,2)))/I236</f>
        <v>1.54963947537359</v>
      </c>
    </row>
    <row r="238" customFormat="false" ht="15" hidden="false" customHeight="true" outlineLevel="0" collapsed="false">
      <c r="B238" s="30" t="s">
        <v>299</v>
      </c>
      <c r="C238" s="94" t="n">
        <f aca="false">C234*'A2 Inputs'!$C$13*(1+'A2 Inputs'!$C$14)^0</f>
        <v>36000000</v>
      </c>
      <c r="D238" s="94" t="n">
        <f aca="false">D234*'A2 Inputs'!$C$13*(1+'A2 Inputs'!$C$14)^1</f>
        <v>46350000</v>
      </c>
      <c r="E238" s="94" t="n">
        <f aca="false">E234*'A2 Inputs'!$C$13*(1+'A2 Inputs'!$C$14)^2</f>
        <v>59675625</v>
      </c>
      <c r="F238" s="94" t="n">
        <f aca="false">F234*'A2 Inputs'!$C$13*(1+'A2 Inputs'!$C$14)^3</f>
        <v>76832367.1875</v>
      </c>
      <c r="G238" s="94" t="n">
        <f aca="false">G234*'A2 Inputs'!$C$13*(1+'A2 Inputs'!$C$14)^4</f>
        <v>98921672.7539063</v>
      </c>
      <c r="H238" s="94" t="n">
        <f aca="false">H234*'A2 Inputs'!$C$13*(1+'A2 Inputs'!$C$14)^5</f>
        <v>127361653.670654</v>
      </c>
      <c r="I238" s="94" t="n">
        <f aca="false">I234*'A2 Inputs'!$C$13*(1+'A2 Inputs'!$C$14)^6</f>
        <v>163978129.100967</v>
      </c>
    </row>
    <row r="239" customFormat="false" ht="15" hidden="false" customHeight="true" outlineLevel="0" collapsed="false">
      <c r="B239" s="30" t="s">
        <v>300</v>
      </c>
      <c r="C239" s="94" t="n">
        <f aca="false">C234*C237+'A2 Inputs'!$C$17*'A2 Inputs'!$C$23+'A2 Inputs'!$C$17</f>
        <v>73100000</v>
      </c>
      <c r="D239" s="94" t="n">
        <f aca="false">D234*D237+'A2 Inputs'!$C$17*'A2 Inputs'!$C$23</f>
        <v>34467800.2317482</v>
      </c>
      <c r="E239" s="94" t="n">
        <f aca="false">E234*E237+'A2 Inputs'!$C$17*'A2 Inputs'!$C$23</f>
        <v>34123988.797669</v>
      </c>
      <c r="F239" s="94" t="n">
        <f aca="false">F234*F237+'A2 Inputs'!$C$17*'A2 Inputs'!$C$23</f>
        <v>35092328.1313989</v>
      </c>
      <c r="G239" s="94" t="n">
        <f aca="false">G234*G237+'A2 Inputs'!$C$17*'A2 Inputs'!$C$23</f>
        <v>38909389.9741361</v>
      </c>
      <c r="H239" s="94" t="n">
        <f aca="false">H234*H237+'A2 Inputs'!$C$17*'A2 Inputs'!$C$23</f>
        <v>43659097.1709018</v>
      </c>
      <c r="I239" s="94" t="n">
        <f aca="false">I234*I237+'A2 Inputs'!$C$17*'A2 Inputs'!$C$23</f>
        <v>49391243.7552975</v>
      </c>
    </row>
    <row r="240" customFormat="false" ht="15" hidden="false" customHeight="true" outlineLevel="0" collapsed="false">
      <c r="B240" s="30" t="s">
        <v>301</v>
      </c>
      <c r="C240" s="94" t="n">
        <f aca="false">(C238-C239)/(1+'A2 Inputs'!$C$10)^1</f>
        <v>-33125000</v>
      </c>
      <c r="D240" s="94" t="n">
        <f aca="false">(D238-D239)/(1+'A2 Inputs'!$C$10)^2</f>
        <v>9472416.90708852</v>
      </c>
      <c r="E240" s="94" t="n">
        <f aca="false">(E238-E239)/(1+'A2 Inputs'!$C$10)^3</f>
        <v>18187149.9481333</v>
      </c>
      <c r="F240" s="94" t="n">
        <f aca="false">(F238-F239)/(1+'A2 Inputs'!$C$10)^4</f>
        <v>26526549.413476</v>
      </c>
      <c r="G240" s="94" t="n">
        <f aca="false">(G238-G239)/(1+'A2 Inputs'!$C$10)^5</f>
        <v>34052580.9222204</v>
      </c>
      <c r="H240" s="94" t="n">
        <f aca="false">(H238-H239)/(1+'A2 Inputs'!$C$10)^6</f>
        <v>42406320.0448777</v>
      </c>
      <c r="I240" s="94" t="n">
        <f aca="false">(I238-I239)/(1+'A2 Inputs'!$C$10)^7</f>
        <v>51833287.6740124</v>
      </c>
    </row>
    <row r="242" customFormat="false" ht="15" hidden="false" customHeight="true" outlineLevel="0" collapsed="false">
      <c r="B242" s="48" t="s">
        <v>260</v>
      </c>
    </row>
  </sheetData>
  <conditionalFormatting sqref="C8:G12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6" style="0" width="58"/>
  </cols>
  <sheetData>
    <row r="2" customFormat="false" ht="18" hidden="false" customHeight="true" outlineLevel="0" collapsed="false">
      <c r="B2" s="22" t="s">
        <v>54</v>
      </c>
    </row>
    <row r="5" customFormat="false" ht="15" hidden="false" customHeight="true" outlineLevel="0" collapsed="false">
      <c r="B5" s="25" t="s">
        <v>326</v>
      </c>
      <c r="C5" s="25"/>
      <c r="D5" s="25"/>
      <c r="E5" s="25"/>
      <c r="F5" s="25"/>
    </row>
    <row r="6" customFormat="false" ht="15" hidden="false" customHeight="true" outlineLevel="0" collapsed="false">
      <c r="B6" s="26" t="s">
        <v>327</v>
      </c>
      <c r="C6" s="95" t="n">
        <v>2028</v>
      </c>
      <c r="D6" s="28" t="s">
        <v>328</v>
      </c>
      <c r="E6" s="36" t="s">
        <v>110</v>
      </c>
      <c r="F6" s="30" t="s">
        <v>329</v>
      </c>
    </row>
    <row r="7" customFormat="false" ht="15" hidden="false" customHeight="true" outlineLevel="0" collapsed="false">
      <c r="B7" s="26" t="s">
        <v>330</v>
      </c>
      <c r="C7" s="31" t="n">
        <v>6</v>
      </c>
      <c r="D7" s="28" t="s">
        <v>61</v>
      </c>
      <c r="E7" s="29" t="s">
        <v>42</v>
      </c>
      <c r="F7" s="30" t="s">
        <v>331</v>
      </c>
    </row>
    <row r="9" customFormat="false" ht="15" hidden="false" customHeight="true" outlineLevel="0" collapsed="false">
      <c r="B9" s="25" t="s">
        <v>332</v>
      </c>
      <c r="C9" s="25"/>
      <c r="D9" s="25"/>
      <c r="E9" s="25"/>
      <c r="F9" s="25"/>
    </row>
    <row r="10" customFormat="false" ht="15" hidden="false" customHeight="true" outlineLevel="0" collapsed="false">
      <c r="B10" s="26" t="s">
        <v>333</v>
      </c>
      <c r="C10" s="27" t="n">
        <f aca="false">'Global Assumptions'!$C$11</f>
        <v>120</v>
      </c>
      <c r="D10" s="28" t="s">
        <v>334</v>
      </c>
      <c r="E10" s="41" t="s">
        <v>47</v>
      </c>
      <c r="F10" s="30" t="s">
        <v>335</v>
      </c>
    </row>
    <row r="11" customFormat="false" ht="15" hidden="false" customHeight="true" outlineLevel="0" collapsed="false">
      <c r="B11" s="26" t="s">
        <v>49</v>
      </c>
      <c r="C11" s="96" t="n">
        <f aca="false">'Global Assumptions'!$C$12</f>
        <v>70</v>
      </c>
      <c r="D11" s="28" t="s">
        <v>50</v>
      </c>
      <c r="E11" s="41" t="s">
        <v>47</v>
      </c>
      <c r="F11" s="30" t="s">
        <v>336</v>
      </c>
    </row>
    <row r="12" customFormat="false" ht="15" hidden="false" customHeight="true" outlineLevel="0" collapsed="false">
      <c r="B12" s="26" t="s">
        <v>337</v>
      </c>
      <c r="C12" s="97" t="n">
        <f aca="false">C10/C11</f>
        <v>1.71428571428571</v>
      </c>
      <c r="D12" s="28" t="s">
        <v>338</v>
      </c>
      <c r="E12" s="29" t="s">
        <v>42</v>
      </c>
      <c r="F12" s="30" t="s">
        <v>339</v>
      </c>
    </row>
    <row r="13" customFormat="false" ht="15" hidden="false" customHeight="true" outlineLevel="0" collapsed="false">
      <c r="B13" s="26" t="s">
        <v>340</v>
      </c>
      <c r="C13" s="86" t="n">
        <v>1.2</v>
      </c>
      <c r="D13" s="28" t="s">
        <v>341</v>
      </c>
      <c r="E13" s="29" t="s">
        <v>42</v>
      </c>
      <c r="F13" s="30" t="s">
        <v>342</v>
      </c>
    </row>
    <row r="14" customFormat="false" ht="15" hidden="false" customHeight="true" outlineLevel="0" collapsed="false">
      <c r="B14" s="26" t="s">
        <v>252</v>
      </c>
      <c r="C14" s="47" t="n">
        <v>0.85</v>
      </c>
      <c r="D14" s="28" t="s">
        <v>99</v>
      </c>
      <c r="E14" s="29" t="s">
        <v>42</v>
      </c>
      <c r="F14" s="30" t="s">
        <v>343</v>
      </c>
    </row>
    <row r="16" customFormat="false" ht="15" hidden="false" customHeight="true" outlineLevel="0" collapsed="false">
      <c r="B16" s="25" t="s">
        <v>344</v>
      </c>
      <c r="C16" s="25"/>
      <c r="D16" s="25"/>
      <c r="E16" s="25"/>
      <c r="F16" s="25"/>
    </row>
    <row r="17" customFormat="false" ht="15" hidden="false" customHeight="true" outlineLevel="0" collapsed="false">
      <c r="B17" s="26" t="s">
        <v>345</v>
      </c>
      <c r="C17" s="31" t="n">
        <v>500</v>
      </c>
      <c r="D17" s="28" t="s">
        <v>346</v>
      </c>
      <c r="E17" s="33" t="s">
        <v>34</v>
      </c>
      <c r="F17" s="30" t="s">
        <v>347</v>
      </c>
    </row>
    <row r="18" customFormat="false" ht="15" hidden="false" customHeight="true" outlineLevel="0" collapsed="false">
      <c r="B18" s="26" t="s">
        <v>348</v>
      </c>
      <c r="C18" s="40" t="n">
        <v>0.6</v>
      </c>
      <c r="D18" s="28" t="s">
        <v>33</v>
      </c>
      <c r="E18" s="41" t="s">
        <v>38</v>
      </c>
      <c r="F18" s="30" t="s">
        <v>349</v>
      </c>
    </row>
    <row r="20" customFormat="false" ht="15" hidden="false" customHeight="true" outlineLevel="0" collapsed="false">
      <c r="B20" s="25" t="s">
        <v>350</v>
      </c>
      <c r="C20" s="25"/>
      <c r="D20" s="25"/>
      <c r="E20" s="25"/>
      <c r="F20" s="25"/>
    </row>
    <row r="21" customFormat="false" ht="15" hidden="false" customHeight="true" outlineLevel="0" collapsed="false">
      <c r="B21" s="26" t="s">
        <v>351</v>
      </c>
      <c r="C21" s="35" t="n">
        <v>150</v>
      </c>
      <c r="D21" s="28" t="s">
        <v>338</v>
      </c>
      <c r="E21" s="41" t="s">
        <v>38</v>
      </c>
      <c r="F21" s="30" t="s">
        <v>352</v>
      </c>
    </row>
    <row r="22" customFormat="false" ht="15" hidden="false" customHeight="true" outlineLevel="0" collapsed="false">
      <c r="B22" s="26" t="s">
        <v>353</v>
      </c>
      <c r="C22" s="31" t="n">
        <v>6</v>
      </c>
      <c r="D22" s="28" t="s">
        <v>354</v>
      </c>
      <c r="E22" s="33" t="s">
        <v>34</v>
      </c>
      <c r="F22" s="30" t="s">
        <v>355</v>
      </c>
    </row>
    <row r="23" customFormat="false" ht="15" hidden="false" customHeight="true" outlineLevel="0" collapsed="false">
      <c r="B23" s="26" t="s">
        <v>356</v>
      </c>
      <c r="C23" s="40" t="n">
        <v>0.45</v>
      </c>
      <c r="D23" s="28" t="s">
        <v>33</v>
      </c>
      <c r="E23" s="41" t="s">
        <v>38</v>
      </c>
      <c r="F23" s="30" t="s">
        <v>357</v>
      </c>
    </row>
    <row r="25" customFormat="false" ht="15" hidden="false" customHeight="true" outlineLevel="0" collapsed="false">
      <c r="B25" s="25" t="s">
        <v>358</v>
      </c>
      <c r="C25" s="25"/>
      <c r="D25" s="25"/>
      <c r="E25" s="25"/>
      <c r="F25" s="25"/>
    </row>
    <row r="26" customFormat="false" ht="15" hidden="false" customHeight="true" outlineLevel="0" collapsed="false">
      <c r="B26" s="26" t="s">
        <v>130</v>
      </c>
      <c r="C26" s="98" t="n">
        <f aca="false">'Global Assumptions'!$C$7</f>
        <v>1000</v>
      </c>
      <c r="D26" s="28" t="s">
        <v>37</v>
      </c>
      <c r="E26" s="41" t="s">
        <v>38</v>
      </c>
      <c r="F26" s="30" t="s">
        <v>359</v>
      </c>
    </row>
    <row r="29" customFormat="false" ht="15" hidden="false" customHeight="true" outlineLevel="0" collapsed="false">
      <c r="B29" s="48" t="s">
        <v>360</v>
      </c>
    </row>
  </sheetData>
  <mergeCells count="5">
    <mergeCell ref="B5:F5"/>
    <mergeCell ref="B9:F9"/>
    <mergeCell ref="B16:F16"/>
    <mergeCell ref="B20:F20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3"/>
  </cols>
  <sheetData>
    <row r="2" customFormat="false" ht="18" hidden="false" customHeight="true" outlineLevel="0" collapsed="false">
      <c r="B2" s="22" t="s">
        <v>361</v>
      </c>
    </row>
    <row r="4" customFormat="false" ht="15" hidden="false" customHeight="true" outlineLevel="0" collapsed="false">
      <c r="B4" s="53" t="s">
        <v>262</v>
      </c>
      <c r="C4" s="99" t="n">
        <f aca="false">'A3 Inputs'!$C$6+0</f>
        <v>2028</v>
      </c>
      <c r="D4" s="99" t="n">
        <f aca="false">'A3 Inputs'!$C$6+1</f>
        <v>2029</v>
      </c>
      <c r="E4" s="99" t="n">
        <f aca="false">'A3 Inputs'!$C$6+2</f>
        <v>2030</v>
      </c>
      <c r="F4" s="99" t="n">
        <f aca="false">'A3 Inputs'!$C$6+3</f>
        <v>2031</v>
      </c>
      <c r="G4" s="99" t="n">
        <f aca="false">'A3 Inputs'!$C$6+4</f>
        <v>2032</v>
      </c>
      <c r="H4" s="99" t="n">
        <f aca="false">'A3 Inputs'!$C$6+5</f>
        <v>2033</v>
      </c>
    </row>
    <row r="5" customFormat="false" ht="15" hidden="false" customHeight="true" outlineLevel="0" collapsed="false">
      <c r="B5" s="26" t="s">
        <v>362</v>
      </c>
      <c r="C5" s="50" t="n">
        <f aca="false">'A3 Inputs'!$C$17</f>
        <v>500</v>
      </c>
      <c r="D5" s="50" t="n">
        <f aca="false">C5*(1+'A3 Inputs'!$C$18)</f>
        <v>800</v>
      </c>
      <c r="E5" s="50" t="n">
        <f aca="false">D5*(1+'A3 Inputs'!$C$18)</f>
        <v>1280</v>
      </c>
      <c r="F5" s="50" t="n">
        <f aca="false">E5*(1+'A3 Inputs'!$C$18)</f>
        <v>2048</v>
      </c>
      <c r="G5" s="50" t="n">
        <f aca="false">F5*(1+'A3 Inputs'!$C$18)</f>
        <v>3276.8</v>
      </c>
      <c r="H5" s="50" t="n">
        <f aca="false">G5*(1+'A3 Inputs'!$C$18)</f>
        <v>5242.88</v>
      </c>
    </row>
    <row r="6" customFormat="false" ht="15" hidden="false" customHeight="true" outlineLevel="0" collapsed="false">
      <c r="B6" s="26" t="s">
        <v>363</v>
      </c>
      <c r="C6" s="50" t="n">
        <f aca="false">('A3 Inputs'!$C$22)*'A3 Inputs'!$C$21/'A3 Inputs'!$C$12</f>
        <v>525</v>
      </c>
      <c r="D6" s="50" t="n">
        <f aca="false">('A3 Inputs'!$C$22*(1+'A3 Inputs'!$C$23)^1)*'A3 Inputs'!$C$21/'A3 Inputs'!$C$12</f>
        <v>761.25</v>
      </c>
      <c r="E6" s="50" t="n">
        <f aca="false">('A3 Inputs'!$C$22*(1+'A3 Inputs'!$C$23)^2)*'A3 Inputs'!$C$21/'A3 Inputs'!$C$12</f>
        <v>1103.8125</v>
      </c>
      <c r="F6" s="50" t="n">
        <f aca="false">('A3 Inputs'!$C$22*(1+'A3 Inputs'!$C$23)^3)*'A3 Inputs'!$C$21/'A3 Inputs'!$C$12</f>
        <v>1600.528125</v>
      </c>
      <c r="G6" s="50" t="n">
        <f aca="false">('A3 Inputs'!$C$22*(1+'A3 Inputs'!$C$23)^4)*'A3 Inputs'!$C$21/'A3 Inputs'!$C$12</f>
        <v>2320.76578125</v>
      </c>
      <c r="H6" s="50" t="n">
        <f aca="false">('A3 Inputs'!$C$22*(1+'A3 Inputs'!$C$23)^5)*'A3 Inputs'!$C$21/'A3 Inputs'!$C$12</f>
        <v>3365.1103828125</v>
      </c>
    </row>
    <row r="7" customFormat="false" ht="15" hidden="false" customHeight="true" outlineLevel="0" collapsed="false">
      <c r="B7" s="53" t="s">
        <v>364</v>
      </c>
      <c r="C7" s="100" t="n">
        <f aca="false">MIN(C5,C6)</f>
        <v>500</v>
      </c>
      <c r="D7" s="100" t="n">
        <f aca="false">MIN(D5,D6)</f>
        <v>761.25</v>
      </c>
      <c r="E7" s="100" t="n">
        <f aca="false">MIN(E5,E6)</f>
        <v>1103.8125</v>
      </c>
      <c r="F7" s="100" t="n">
        <f aca="false">MIN(F5,F6)</f>
        <v>1600.528125</v>
      </c>
      <c r="G7" s="100" t="n">
        <f aca="false">MIN(G5,G6)</f>
        <v>2320.76578125</v>
      </c>
      <c r="H7" s="100" t="n">
        <f aca="false">MIN(H5,H6)</f>
        <v>3365.1103828125</v>
      </c>
    </row>
    <row r="8" customFormat="false" ht="15" hidden="false" customHeight="true" outlineLevel="0" collapsed="false">
      <c r="B8" s="26" t="s">
        <v>365</v>
      </c>
      <c r="C8" s="101" t="str">
        <f aca="false">IF(C5&lt;C6,"Factory","Launch")</f>
        <v>Factory</v>
      </c>
      <c r="D8" s="101" t="str">
        <f aca="false">IF(D5&lt;D6,"Factory","Launch")</f>
        <v>Launch</v>
      </c>
      <c r="E8" s="101" t="str">
        <f aca="false">IF(E5&lt;E6,"Factory","Launch")</f>
        <v>Launch</v>
      </c>
      <c r="F8" s="101" t="str">
        <f aca="false">IF(F5&lt;F6,"Factory","Launch")</f>
        <v>Launch</v>
      </c>
      <c r="G8" s="101" t="str">
        <f aca="false">IF(G5&lt;G6,"Factory","Launch")</f>
        <v>Launch</v>
      </c>
      <c r="H8" s="101" t="str">
        <f aca="false">IF(H5&lt;H6,"Factory","Launch")</f>
        <v>Launch</v>
      </c>
    </row>
    <row r="10" customFormat="false" ht="15" hidden="false" customHeight="true" outlineLevel="0" collapsed="false">
      <c r="B10" s="26" t="s">
        <v>366</v>
      </c>
      <c r="C10" s="50" t="n">
        <f aca="false">C7</f>
        <v>500</v>
      </c>
      <c r="D10" s="50" t="n">
        <f aca="false">C10+D7</f>
        <v>1261.25</v>
      </c>
      <c r="E10" s="50" t="n">
        <f aca="false">D10+E7</f>
        <v>2365.0625</v>
      </c>
      <c r="F10" s="50" t="n">
        <f aca="false">E10+F7</f>
        <v>3965.590625</v>
      </c>
      <c r="G10" s="50" t="n">
        <f aca="false">F10+G7</f>
        <v>6286.35640625</v>
      </c>
      <c r="H10" s="50" t="n">
        <f aca="false">G10+H7</f>
        <v>9651.4667890625</v>
      </c>
    </row>
    <row r="11" customFormat="false" ht="15" hidden="false" customHeight="true" outlineLevel="0" collapsed="false">
      <c r="B11" s="26" t="s">
        <v>367</v>
      </c>
      <c r="C11" s="37" t="n">
        <f aca="false">'A3 Inputs'!$C$13*((C10/C10)^(LOG('A3 Inputs'!$C$14,2)))</f>
        <v>1.2</v>
      </c>
      <c r="D11" s="37" t="n">
        <f aca="false">'A3 Inputs'!$C$13*((D10/C10)^(LOG('A3 Inputs'!$C$14,2)))</f>
        <v>0.965974801905921</v>
      </c>
      <c r="E11" s="37" t="n">
        <f aca="false">'A3 Inputs'!$C$13*((E10/C10)^(LOG('A3 Inputs'!$C$14,2)))</f>
        <v>0.833579578628318</v>
      </c>
      <c r="F11" s="37" t="n">
        <f aca="false">'A3 Inputs'!$C$13*((F10/C10)^(LOG('A3 Inputs'!$C$14,2)))</f>
        <v>0.738444334962829</v>
      </c>
      <c r="G11" s="37" t="n">
        <f aca="false">'A3 Inputs'!$C$13*((G10/C10)^(LOG('A3 Inputs'!$C$14,2)))</f>
        <v>0.662831818047251</v>
      </c>
      <c r="H11" s="37" t="n">
        <f aca="false">'A3 Inputs'!$C$13*((H10/C10)^(LOG('A3 Inputs'!$C$14,2)))</f>
        <v>0.599442111153758</v>
      </c>
    </row>
    <row r="12" customFormat="false" ht="15" hidden="false" customHeight="true" outlineLevel="0" collapsed="false">
      <c r="B12" s="26" t="s">
        <v>368</v>
      </c>
      <c r="C12" s="52" t="n">
        <f aca="false">C7*C11</f>
        <v>600</v>
      </c>
      <c r="D12" s="52" t="n">
        <f aca="false">D7*D11</f>
        <v>735.348317950882</v>
      </c>
      <c r="E12" s="52" t="n">
        <f aca="false">E7*E11</f>
        <v>920.11555863467</v>
      </c>
      <c r="F12" s="52" t="n">
        <f aca="false">F7*F11</f>
        <v>1181.90092685493</v>
      </c>
      <c r="G12" s="52" t="n">
        <f aca="false">G7*G11</f>
        <v>1538.27740204779</v>
      </c>
      <c r="H12" s="52" t="n">
        <f aca="false">H7*H11</f>
        <v>2017.18887213855</v>
      </c>
    </row>
    <row r="13" customFormat="false" ht="15" hidden="false" customHeight="true" outlineLevel="0" collapsed="false">
      <c r="B13" s="26" t="s">
        <v>369</v>
      </c>
      <c r="C13" s="52" t="n">
        <f aca="false">C7*'A3 Inputs'!$C$12*1000*'A3 Inputs'!$C$26/1000000</f>
        <v>857.142857142857</v>
      </c>
      <c r="D13" s="52" t="n">
        <f aca="false">D7*'A3 Inputs'!$C$12*1000*'A3 Inputs'!$C$26/1000000</f>
        <v>1305</v>
      </c>
      <c r="E13" s="52" t="n">
        <f aca="false">E7*'A3 Inputs'!$C$12*1000*'A3 Inputs'!$C$26/1000000</f>
        <v>1892.25</v>
      </c>
      <c r="F13" s="52" t="n">
        <f aca="false">F7*'A3 Inputs'!$C$12*1000*'A3 Inputs'!$C$26/1000000</f>
        <v>2743.7625</v>
      </c>
      <c r="G13" s="52" t="n">
        <f aca="false">G7*'A3 Inputs'!$C$12*1000*'A3 Inputs'!$C$26/1000000</f>
        <v>3978.455625</v>
      </c>
      <c r="H13" s="52" t="n">
        <f aca="false">H7*'A3 Inputs'!$C$12*1000*'A3 Inputs'!$C$26/1000000</f>
        <v>5768.76065625</v>
      </c>
    </row>
    <row r="14" customFormat="false" ht="15" hidden="false" customHeight="true" outlineLevel="0" collapsed="false">
      <c r="B14" s="53" t="s">
        <v>370</v>
      </c>
      <c r="C14" s="54" t="n">
        <f aca="false">C12+C13</f>
        <v>1457.14285714286</v>
      </c>
      <c r="D14" s="54" t="n">
        <f aca="false">D12+D13</f>
        <v>2040.34831795088</v>
      </c>
      <c r="E14" s="54" t="n">
        <f aca="false">E12+E13</f>
        <v>2812.36555863467</v>
      </c>
      <c r="F14" s="54" t="n">
        <f aca="false">F12+F13</f>
        <v>3925.66342685493</v>
      </c>
      <c r="G14" s="54" t="n">
        <f aca="false">G12+G13</f>
        <v>5516.73302704779</v>
      </c>
      <c r="H14" s="54" t="n">
        <f aca="false">H12+H13</f>
        <v>7785.94952838855</v>
      </c>
    </row>
    <row r="16" customFormat="false" ht="15" hidden="false" customHeight="true" outlineLevel="0" collapsed="false">
      <c r="B16" s="26" t="s">
        <v>371</v>
      </c>
      <c r="C16" s="50" t="n">
        <f aca="false">C7*'A3 Inputs'!$C$10/1000</f>
        <v>60</v>
      </c>
      <c r="D16" s="50" t="n">
        <f aca="false">D7*'A3 Inputs'!$C$10/1000</f>
        <v>91.35</v>
      </c>
      <c r="E16" s="50" t="n">
        <f aca="false">E7*'A3 Inputs'!$C$10/1000</f>
        <v>132.4575</v>
      </c>
      <c r="F16" s="50" t="n">
        <f aca="false">F7*'A3 Inputs'!$C$10/1000</f>
        <v>192.063375</v>
      </c>
      <c r="G16" s="50" t="n">
        <f aca="false">G7*'A3 Inputs'!$C$10/1000</f>
        <v>278.49189375</v>
      </c>
      <c r="H16" s="50" t="n">
        <f aca="false">H7*'A3 Inputs'!$C$10/1000</f>
        <v>403.8132459375</v>
      </c>
    </row>
    <row r="17" customFormat="false" ht="15" hidden="false" customHeight="true" outlineLevel="0" collapsed="false">
      <c r="B17" s="53" t="s">
        <v>372</v>
      </c>
      <c r="C17" s="100" t="n">
        <f aca="false">C16</f>
        <v>60</v>
      </c>
      <c r="D17" s="100" t="n">
        <f aca="false">C17+D16</f>
        <v>151.35</v>
      </c>
      <c r="E17" s="100" t="n">
        <f aca="false">D17+E16</f>
        <v>283.8075</v>
      </c>
      <c r="F17" s="100" t="n">
        <f aca="false">E17+F16</f>
        <v>475.870875</v>
      </c>
      <c r="G17" s="100" t="n">
        <f aca="false">F17+G16</f>
        <v>754.36276875</v>
      </c>
      <c r="H17" s="100" t="n">
        <f aca="false">G17+H16</f>
        <v>1158.1760146875</v>
      </c>
    </row>
    <row r="18" customFormat="false" ht="15" hidden="false" customHeight="true" outlineLevel="0" collapsed="false">
      <c r="B18" s="26" t="s">
        <v>373</v>
      </c>
      <c r="C18" s="52" t="n">
        <f aca="false">C14</f>
        <v>1457.14285714286</v>
      </c>
      <c r="D18" s="52" t="n">
        <f aca="false">C18+D14</f>
        <v>3497.49117509374</v>
      </c>
      <c r="E18" s="52" t="n">
        <f aca="false">D18+E14</f>
        <v>6309.85673372841</v>
      </c>
      <c r="F18" s="52" t="n">
        <f aca="false">E18+F14</f>
        <v>10235.5201605833</v>
      </c>
      <c r="G18" s="52" t="n">
        <f aca="false">F18+G14</f>
        <v>15752.2531876311</v>
      </c>
      <c r="H18" s="52" t="n">
        <f aca="false">G18+H14</f>
        <v>23538.2027160197</v>
      </c>
    </row>
    <row r="19" customFormat="false" ht="15" hidden="false" customHeight="true" outlineLevel="0" collapsed="false">
      <c r="B19" s="26" t="s">
        <v>374</v>
      </c>
      <c r="C19" s="102" t="n">
        <f aca="false">C18/C17</f>
        <v>24.2857142857143</v>
      </c>
      <c r="D19" s="102" t="n">
        <f aca="false">D18/D17</f>
        <v>23.1086301624958</v>
      </c>
      <c r="E19" s="102" t="n">
        <f aca="false">E18/E17</f>
        <v>22.2328752190425</v>
      </c>
      <c r="F19" s="102" t="n">
        <f aca="false">F18/F17</f>
        <v>21.5090283904921</v>
      </c>
      <c r="G19" s="102" t="n">
        <f aca="false">G18/G17</f>
        <v>20.881535834189</v>
      </c>
      <c r="H19" s="102" t="n">
        <f aca="false">H18/H17</f>
        <v>20.3235107768751</v>
      </c>
    </row>
    <row r="21" customFormat="false" ht="15" hidden="false" customHeight="true" outlineLevel="0" collapsed="false">
      <c r="B21" s="26" t="s">
        <v>375</v>
      </c>
      <c r="C21" s="51" t="n">
        <f aca="false">C7*'A3 Inputs'!$C$12/'A3 Inputs'!$C$21</f>
        <v>5.71428571428571</v>
      </c>
      <c r="D21" s="51" t="n">
        <f aca="false">D7*'A3 Inputs'!$C$12/'A3 Inputs'!$C$21</f>
        <v>8.7</v>
      </c>
      <c r="E21" s="51" t="n">
        <f aca="false">E7*'A3 Inputs'!$C$12/'A3 Inputs'!$C$21</f>
        <v>12.615</v>
      </c>
      <c r="F21" s="51" t="n">
        <f aca="false">F7*'A3 Inputs'!$C$12/'A3 Inputs'!$C$21</f>
        <v>18.29175</v>
      </c>
      <c r="G21" s="51" t="n">
        <f aca="false">G7*'A3 Inputs'!$C$12/'A3 Inputs'!$C$21</f>
        <v>26.5230375</v>
      </c>
      <c r="H21" s="51" t="n">
        <f aca="false">H7*'A3 Inputs'!$C$12/'A3 Inputs'!$C$21</f>
        <v>38.458404375</v>
      </c>
    </row>
    <row r="24" customFormat="false" ht="15" hidden="false" customHeight="true" outlineLevel="0" collapsed="false">
      <c r="B24" s="43" t="s">
        <v>274</v>
      </c>
      <c r="C24" s="88"/>
      <c r="D24" s="88"/>
    </row>
    <row r="25" customFormat="false" ht="15" hidden="false" customHeight="true" outlineLevel="0" collapsed="false">
      <c r="B25" s="26" t="s">
        <v>376</v>
      </c>
      <c r="C25" s="97" t="n">
        <f aca="false">H17/1000</f>
        <v>1.1581760146875</v>
      </c>
    </row>
    <row r="26" customFormat="false" ht="15" hidden="false" customHeight="true" outlineLevel="0" collapsed="false">
      <c r="B26" s="26" t="s">
        <v>377</v>
      </c>
      <c r="C26" s="52" t="n">
        <f aca="false">H18</f>
        <v>23538.2027160197</v>
      </c>
    </row>
    <row r="27" customFormat="false" ht="15" hidden="false" customHeight="true" outlineLevel="0" collapsed="false">
      <c r="B27" s="26" t="s">
        <v>378</v>
      </c>
      <c r="C27" s="37" t="n">
        <f aca="false">H11</f>
        <v>0.599442111153758</v>
      </c>
    </row>
    <row r="30" customFormat="false" ht="15" hidden="false" customHeight="true" outlineLevel="0" collapsed="false">
      <c r="B30" s="48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2"/>
  </cols>
  <sheetData>
    <row r="2" customFormat="false" ht="18" hidden="false" customHeight="true" outlineLevel="0" collapsed="false">
      <c r="B2" s="22" t="s">
        <v>379</v>
      </c>
    </row>
    <row r="3" customFormat="false" ht="15" hidden="false" customHeight="true" outlineLevel="0" collapsed="false">
      <c r="B3" s="23" t="s">
        <v>380</v>
      </c>
    </row>
    <row r="4" customFormat="false" ht="15" hidden="false" customHeight="true" outlineLevel="0" collapsed="false">
      <c r="B4" s="23" t="s">
        <v>381</v>
      </c>
    </row>
    <row r="6" customFormat="false" ht="15" hidden="false" customHeight="true" outlineLevel="0" collapsed="false">
      <c r="B6" s="89" t="s">
        <v>382</v>
      </c>
      <c r="C6" s="103" t="n">
        <v>0.3</v>
      </c>
      <c r="D6" s="103" t="n">
        <v>0.45</v>
      </c>
      <c r="E6" s="103" t="n">
        <v>0.6</v>
      </c>
      <c r="F6" s="103" t="n">
        <v>0.8</v>
      </c>
    </row>
    <row r="7" customFormat="false" ht="15" hidden="false" customHeight="true" outlineLevel="0" collapsed="false">
      <c r="B7" s="67" t="n">
        <v>3</v>
      </c>
      <c r="C7" s="104" t="n">
        <f aca="false">SUM(C16:H16)</f>
        <v>0.401814945</v>
      </c>
      <c r="D7" s="104" t="n">
        <f aca="false">SUM(C18:H18)</f>
        <v>0.58058800734375</v>
      </c>
      <c r="E7" s="104" t="n">
        <f aca="false">SUM(C20:H20)</f>
        <v>0.82830384</v>
      </c>
      <c r="F7" s="104" t="n">
        <f aca="false">SUM(C22:H22)</f>
        <v>1.29985632</v>
      </c>
    </row>
    <row r="8" customFormat="false" ht="15" hidden="false" customHeight="true" outlineLevel="0" collapsed="false">
      <c r="B8" s="67" t="n">
        <v>4</v>
      </c>
      <c r="C8" s="104" t="n">
        <f aca="false">SUM(C24:H24)</f>
        <v>0.53575326</v>
      </c>
      <c r="D8" s="104" t="n">
        <f aca="false">SUM(C26:H26)</f>
        <v>0.774117343125</v>
      </c>
      <c r="E8" s="104" t="n">
        <f aca="false">SUM(C28:H28)</f>
        <v>1.10440512</v>
      </c>
      <c r="F8" s="104" t="n">
        <f aca="false">SUM(C30:H30)</f>
        <v>1.5209856</v>
      </c>
    </row>
    <row r="9" customFormat="false" ht="15" hidden="false" customHeight="true" outlineLevel="0" collapsed="false">
      <c r="B9" s="67" t="n">
        <v>6</v>
      </c>
      <c r="C9" s="104" t="n">
        <f aca="false">SUM(C32:H32)</f>
        <v>0.80062989</v>
      </c>
      <c r="D9" s="104" t="n">
        <f aca="false">SUM(C34:H34)</f>
        <v>1.1581760146875</v>
      </c>
      <c r="E9" s="104" t="n">
        <f aca="false">SUM(C36:H36)</f>
        <v>1.5777216</v>
      </c>
      <c r="F9" s="104" t="n">
        <f aca="false">SUM(C38:H38)</f>
        <v>1.5777216</v>
      </c>
    </row>
    <row r="10" customFormat="false" ht="15" hidden="false" customHeight="true" outlineLevel="0" collapsed="false">
      <c r="B10" s="67" t="n">
        <v>8</v>
      </c>
      <c r="C10" s="104" t="n">
        <f aca="false">SUM(C40:H40)</f>
        <v>1.03430652</v>
      </c>
      <c r="D10" s="104" t="n">
        <f aca="false">SUM(C42:H42)</f>
        <v>1.46510018625</v>
      </c>
      <c r="E10" s="104" t="n">
        <f aca="false">SUM(C44:H44)</f>
        <v>1.5777216</v>
      </c>
      <c r="F10" s="104" t="n">
        <f aca="false">SUM(C46:H46)</f>
        <v>1.5777216</v>
      </c>
    </row>
    <row r="11" customFormat="false" ht="15" hidden="false" customHeight="true" outlineLevel="0" collapsed="false">
      <c r="B11" s="67" t="n">
        <v>12</v>
      </c>
      <c r="C11" s="104" t="n">
        <f aca="false">SUM(C48:H48)</f>
        <v>1.38305778</v>
      </c>
      <c r="D11" s="104" t="n">
        <f aca="false">SUM(C50:H50)</f>
        <v>1.5777216</v>
      </c>
      <c r="E11" s="104" t="n">
        <f aca="false">SUM(C52:H52)</f>
        <v>1.5777216</v>
      </c>
      <c r="F11" s="104" t="n">
        <f aca="false">SUM(C54:H54)</f>
        <v>1.5777216</v>
      </c>
    </row>
    <row r="13" customFormat="false" ht="15" hidden="false" customHeight="true" outlineLevel="0" collapsed="false">
      <c r="B13" s="70" t="s">
        <v>383</v>
      </c>
    </row>
    <row r="14" customFormat="false" ht="15" hidden="false" customHeight="true" outlineLevel="0" collapsed="false">
      <c r="B14" s="93" t="s">
        <v>384</v>
      </c>
    </row>
    <row r="15" customFormat="false" ht="15" hidden="false" customHeight="true" outlineLevel="0" collapsed="false">
      <c r="B15" s="93" t="s">
        <v>385</v>
      </c>
    </row>
    <row r="16" customFormat="false" ht="15" hidden="false" customHeight="true" outlineLevel="0" collapsed="false">
      <c r="B16" s="70" t="s">
        <v>386</v>
      </c>
      <c r="C16" s="105" t="n">
        <f aca="false">MIN('A3 Inputs'!$C$17*(1+'A3 Inputs'!$C$18)^0,3*(1+0.3)^0*'A3 Inputs'!$C$21/'A3 Inputs'!$C$12)*'A3 Inputs'!$C$10/1000000</f>
        <v>0.0315</v>
      </c>
      <c r="D16" s="105" t="n">
        <f aca="false">MIN('A3 Inputs'!$C$17*(1+'A3 Inputs'!$C$18)^1,3*(1+0.3)^1*'A3 Inputs'!$C$21/'A3 Inputs'!$C$12)*'A3 Inputs'!$C$10/1000000</f>
        <v>0.04095</v>
      </c>
      <c r="E16" s="105" t="n">
        <f aca="false">MIN('A3 Inputs'!$C$17*(1+'A3 Inputs'!$C$18)^2,3*(1+0.3)^2*'A3 Inputs'!$C$21/'A3 Inputs'!$C$12)*'A3 Inputs'!$C$10/1000000</f>
        <v>0.053235</v>
      </c>
      <c r="F16" s="105" t="n">
        <f aca="false">MIN('A3 Inputs'!$C$17*(1+'A3 Inputs'!$C$18)^3,3*(1+0.3)^3*'A3 Inputs'!$C$21/'A3 Inputs'!$C$12)*'A3 Inputs'!$C$10/1000000</f>
        <v>0.0692055</v>
      </c>
      <c r="G16" s="105" t="n">
        <f aca="false">MIN('A3 Inputs'!$C$17*(1+'A3 Inputs'!$C$18)^4,3*(1+0.3)^4*'A3 Inputs'!$C$21/'A3 Inputs'!$C$12)*'A3 Inputs'!$C$10/1000000</f>
        <v>0.08996715</v>
      </c>
      <c r="H16" s="105" t="n">
        <f aca="false">MIN('A3 Inputs'!$C$17*(1+'A3 Inputs'!$C$18)^5,3*(1+0.3)^5*'A3 Inputs'!$C$21/'A3 Inputs'!$C$12)*'A3 Inputs'!$C$10/1000000</f>
        <v>0.116957295</v>
      </c>
    </row>
    <row r="18" customFormat="false" ht="15" hidden="false" customHeight="true" outlineLevel="0" collapsed="false">
      <c r="B18" s="106" t="s">
        <v>387</v>
      </c>
      <c r="C18" s="105" t="n">
        <f aca="false">MIN('A3 Inputs'!$C$17*(1+'A3 Inputs'!$C$18)^0,3*(1+0.45)^0*'A3 Inputs'!$C$21/'A3 Inputs'!$C$12)*'A3 Inputs'!$C$10/1000000</f>
        <v>0.0315</v>
      </c>
      <c r="D18" s="105" t="n">
        <f aca="false">MIN('A3 Inputs'!$C$17*(1+'A3 Inputs'!$C$18)^1,3*(1+0.45)^1*'A3 Inputs'!$C$21/'A3 Inputs'!$C$12)*'A3 Inputs'!$C$10/1000000</f>
        <v>0.045675</v>
      </c>
      <c r="E18" s="105" t="n">
        <f aca="false">MIN('A3 Inputs'!$C$17*(1+'A3 Inputs'!$C$18)^2,3*(1+0.45)^2*'A3 Inputs'!$C$21/'A3 Inputs'!$C$12)*'A3 Inputs'!$C$10/1000000</f>
        <v>0.06622875</v>
      </c>
      <c r="F18" s="105" t="n">
        <f aca="false">MIN('A3 Inputs'!$C$17*(1+'A3 Inputs'!$C$18)^3,3*(1+0.45)^3*'A3 Inputs'!$C$21/'A3 Inputs'!$C$12)*'A3 Inputs'!$C$10/1000000</f>
        <v>0.0960316875</v>
      </c>
      <c r="G18" s="105" t="n">
        <f aca="false">MIN('A3 Inputs'!$C$17*(1+'A3 Inputs'!$C$18)^4,3*(1+0.45)^4*'A3 Inputs'!$C$21/'A3 Inputs'!$C$12)*'A3 Inputs'!$C$10/1000000</f>
        <v>0.139245946875</v>
      </c>
      <c r="H18" s="105" t="n">
        <f aca="false">MIN('A3 Inputs'!$C$17*(1+'A3 Inputs'!$C$18)^5,3*(1+0.45)^5*'A3 Inputs'!$C$21/'A3 Inputs'!$C$12)*'A3 Inputs'!$C$10/1000000</f>
        <v>0.20190662296875</v>
      </c>
    </row>
    <row r="20" customFormat="false" ht="15" hidden="false" customHeight="true" outlineLevel="0" collapsed="false">
      <c r="B20" s="106" t="s">
        <v>388</v>
      </c>
      <c r="C20" s="105" t="n">
        <f aca="false">MIN('A3 Inputs'!$C$17*(1+'A3 Inputs'!$C$18)^0,3*(1+0.6)^0*'A3 Inputs'!$C$21/'A3 Inputs'!$C$12)*'A3 Inputs'!$C$10/1000000</f>
        <v>0.0315</v>
      </c>
      <c r="D20" s="105" t="n">
        <f aca="false">MIN('A3 Inputs'!$C$17*(1+'A3 Inputs'!$C$18)^1,3*(1+0.6)^1*'A3 Inputs'!$C$21/'A3 Inputs'!$C$12)*'A3 Inputs'!$C$10/1000000</f>
        <v>0.0504</v>
      </c>
      <c r="E20" s="105" t="n">
        <f aca="false">MIN('A3 Inputs'!$C$17*(1+'A3 Inputs'!$C$18)^2,3*(1+0.6)^2*'A3 Inputs'!$C$21/'A3 Inputs'!$C$12)*'A3 Inputs'!$C$10/1000000</f>
        <v>0.08064</v>
      </c>
      <c r="F20" s="105" t="n">
        <f aca="false">MIN('A3 Inputs'!$C$17*(1+'A3 Inputs'!$C$18)^3,3*(1+0.6)^3*'A3 Inputs'!$C$21/'A3 Inputs'!$C$12)*'A3 Inputs'!$C$10/1000000</f>
        <v>0.129024</v>
      </c>
      <c r="G20" s="105" t="n">
        <f aca="false">MIN('A3 Inputs'!$C$17*(1+'A3 Inputs'!$C$18)^4,3*(1+0.6)^4*'A3 Inputs'!$C$21/'A3 Inputs'!$C$12)*'A3 Inputs'!$C$10/1000000</f>
        <v>0.2064384</v>
      </c>
      <c r="H20" s="105" t="n">
        <f aca="false">MIN('A3 Inputs'!$C$17*(1+'A3 Inputs'!$C$18)^5,3*(1+0.6)^5*'A3 Inputs'!$C$21/'A3 Inputs'!$C$12)*'A3 Inputs'!$C$10/1000000</f>
        <v>0.33030144</v>
      </c>
    </row>
    <row r="22" customFormat="false" ht="15" hidden="false" customHeight="true" outlineLevel="0" collapsed="false">
      <c r="B22" s="106" t="s">
        <v>389</v>
      </c>
      <c r="C22" s="105" t="n">
        <f aca="false">MIN('A3 Inputs'!$C$17*(1+'A3 Inputs'!$C$18)^0,3*(1+0.8)^0*'A3 Inputs'!$C$21/'A3 Inputs'!$C$12)*'A3 Inputs'!$C$10/1000000</f>
        <v>0.0315</v>
      </c>
      <c r="D22" s="105" t="n">
        <f aca="false">MIN('A3 Inputs'!$C$17*(1+'A3 Inputs'!$C$18)^1,3*(1+0.8)^1*'A3 Inputs'!$C$21/'A3 Inputs'!$C$12)*'A3 Inputs'!$C$10/1000000</f>
        <v>0.0567</v>
      </c>
      <c r="E22" s="105" t="n">
        <f aca="false">MIN('A3 Inputs'!$C$17*(1+'A3 Inputs'!$C$18)^2,3*(1+0.8)^2*'A3 Inputs'!$C$21/'A3 Inputs'!$C$12)*'A3 Inputs'!$C$10/1000000</f>
        <v>0.10206</v>
      </c>
      <c r="F22" s="105" t="n">
        <f aca="false">MIN('A3 Inputs'!$C$17*(1+'A3 Inputs'!$C$18)^3,3*(1+0.8)^3*'A3 Inputs'!$C$21/'A3 Inputs'!$C$12)*'A3 Inputs'!$C$10/1000000</f>
        <v>0.183708</v>
      </c>
      <c r="G22" s="105" t="n">
        <f aca="false">MIN('A3 Inputs'!$C$17*(1+'A3 Inputs'!$C$18)^4,3*(1+0.8)^4*'A3 Inputs'!$C$21/'A3 Inputs'!$C$12)*'A3 Inputs'!$C$10/1000000</f>
        <v>0.3306744</v>
      </c>
      <c r="H22" s="105" t="n">
        <f aca="false">MIN('A3 Inputs'!$C$17*(1+'A3 Inputs'!$C$18)^5,3*(1+0.8)^5*'A3 Inputs'!$C$21/'A3 Inputs'!$C$12)*'A3 Inputs'!$C$10/1000000</f>
        <v>0.59521392</v>
      </c>
    </row>
    <row r="24" customFormat="false" ht="15" hidden="false" customHeight="true" outlineLevel="0" collapsed="false">
      <c r="B24" s="106" t="s">
        <v>390</v>
      </c>
      <c r="C24" s="105" t="n">
        <f aca="false">MIN('A3 Inputs'!$C$17*(1+'A3 Inputs'!$C$18)^0,4*(1+0.3)^0*'A3 Inputs'!$C$21/'A3 Inputs'!$C$12)*'A3 Inputs'!$C$10/1000000</f>
        <v>0.042</v>
      </c>
      <c r="D24" s="105" t="n">
        <f aca="false">MIN('A3 Inputs'!$C$17*(1+'A3 Inputs'!$C$18)^1,4*(1+0.3)^1*'A3 Inputs'!$C$21/'A3 Inputs'!$C$12)*'A3 Inputs'!$C$10/1000000</f>
        <v>0.0546</v>
      </c>
      <c r="E24" s="105" t="n">
        <f aca="false">MIN('A3 Inputs'!$C$17*(1+'A3 Inputs'!$C$18)^2,4*(1+0.3)^2*'A3 Inputs'!$C$21/'A3 Inputs'!$C$12)*'A3 Inputs'!$C$10/1000000</f>
        <v>0.07098</v>
      </c>
      <c r="F24" s="105" t="n">
        <f aca="false">MIN('A3 Inputs'!$C$17*(1+'A3 Inputs'!$C$18)^3,4*(1+0.3)^3*'A3 Inputs'!$C$21/'A3 Inputs'!$C$12)*'A3 Inputs'!$C$10/1000000</f>
        <v>0.092274</v>
      </c>
      <c r="G24" s="105" t="n">
        <f aca="false">MIN('A3 Inputs'!$C$17*(1+'A3 Inputs'!$C$18)^4,4*(1+0.3)^4*'A3 Inputs'!$C$21/'A3 Inputs'!$C$12)*'A3 Inputs'!$C$10/1000000</f>
        <v>0.1199562</v>
      </c>
      <c r="H24" s="105" t="n">
        <f aca="false">MIN('A3 Inputs'!$C$17*(1+'A3 Inputs'!$C$18)^5,4*(1+0.3)^5*'A3 Inputs'!$C$21/'A3 Inputs'!$C$12)*'A3 Inputs'!$C$10/1000000</f>
        <v>0.15594306</v>
      </c>
    </row>
    <row r="26" customFormat="false" ht="15" hidden="false" customHeight="true" outlineLevel="0" collapsed="false">
      <c r="B26" s="106" t="s">
        <v>391</v>
      </c>
      <c r="C26" s="105" t="n">
        <f aca="false">MIN('A3 Inputs'!$C$17*(1+'A3 Inputs'!$C$18)^0,4*(1+0.45)^0*'A3 Inputs'!$C$21/'A3 Inputs'!$C$12)*'A3 Inputs'!$C$10/1000000</f>
        <v>0.042</v>
      </c>
      <c r="D26" s="105" t="n">
        <f aca="false">MIN('A3 Inputs'!$C$17*(1+'A3 Inputs'!$C$18)^1,4*(1+0.45)^1*'A3 Inputs'!$C$21/'A3 Inputs'!$C$12)*'A3 Inputs'!$C$10/1000000</f>
        <v>0.0609</v>
      </c>
      <c r="E26" s="105" t="n">
        <f aca="false">MIN('A3 Inputs'!$C$17*(1+'A3 Inputs'!$C$18)^2,4*(1+0.45)^2*'A3 Inputs'!$C$21/'A3 Inputs'!$C$12)*'A3 Inputs'!$C$10/1000000</f>
        <v>0.088305</v>
      </c>
      <c r="F26" s="105" t="n">
        <f aca="false">MIN('A3 Inputs'!$C$17*(1+'A3 Inputs'!$C$18)^3,4*(1+0.45)^3*'A3 Inputs'!$C$21/'A3 Inputs'!$C$12)*'A3 Inputs'!$C$10/1000000</f>
        <v>0.12804225</v>
      </c>
      <c r="G26" s="105" t="n">
        <f aca="false">MIN('A3 Inputs'!$C$17*(1+'A3 Inputs'!$C$18)^4,4*(1+0.45)^4*'A3 Inputs'!$C$21/'A3 Inputs'!$C$12)*'A3 Inputs'!$C$10/1000000</f>
        <v>0.1856612625</v>
      </c>
      <c r="H26" s="105" t="n">
        <f aca="false">MIN('A3 Inputs'!$C$17*(1+'A3 Inputs'!$C$18)^5,4*(1+0.45)^5*'A3 Inputs'!$C$21/'A3 Inputs'!$C$12)*'A3 Inputs'!$C$10/1000000</f>
        <v>0.269208830625</v>
      </c>
    </row>
    <row r="28" customFormat="false" ht="15" hidden="false" customHeight="true" outlineLevel="0" collapsed="false">
      <c r="B28" s="106" t="s">
        <v>392</v>
      </c>
      <c r="C28" s="105" t="n">
        <f aca="false">MIN('A3 Inputs'!$C$17*(1+'A3 Inputs'!$C$18)^0,4*(1+0.6)^0*'A3 Inputs'!$C$21/'A3 Inputs'!$C$12)*'A3 Inputs'!$C$10/1000000</f>
        <v>0.042</v>
      </c>
      <c r="D28" s="105" t="n">
        <f aca="false">MIN('A3 Inputs'!$C$17*(1+'A3 Inputs'!$C$18)^1,4*(1+0.6)^1*'A3 Inputs'!$C$21/'A3 Inputs'!$C$12)*'A3 Inputs'!$C$10/1000000</f>
        <v>0.0672</v>
      </c>
      <c r="E28" s="105" t="n">
        <f aca="false">MIN('A3 Inputs'!$C$17*(1+'A3 Inputs'!$C$18)^2,4*(1+0.6)^2*'A3 Inputs'!$C$21/'A3 Inputs'!$C$12)*'A3 Inputs'!$C$10/1000000</f>
        <v>0.10752</v>
      </c>
      <c r="F28" s="105" t="n">
        <f aca="false">MIN('A3 Inputs'!$C$17*(1+'A3 Inputs'!$C$18)^3,4*(1+0.6)^3*'A3 Inputs'!$C$21/'A3 Inputs'!$C$12)*'A3 Inputs'!$C$10/1000000</f>
        <v>0.172032</v>
      </c>
      <c r="G28" s="105" t="n">
        <f aca="false">MIN('A3 Inputs'!$C$17*(1+'A3 Inputs'!$C$18)^4,4*(1+0.6)^4*'A3 Inputs'!$C$21/'A3 Inputs'!$C$12)*'A3 Inputs'!$C$10/1000000</f>
        <v>0.2752512</v>
      </c>
      <c r="H28" s="105" t="n">
        <f aca="false">MIN('A3 Inputs'!$C$17*(1+'A3 Inputs'!$C$18)^5,4*(1+0.6)^5*'A3 Inputs'!$C$21/'A3 Inputs'!$C$12)*'A3 Inputs'!$C$10/1000000</f>
        <v>0.44040192</v>
      </c>
    </row>
    <row r="30" customFormat="false" ht="15" hidden="false" customHeight="true" outlineLevel="0" collapsed="false">
      <c r="B30" s="106" t="s">
        <v>393</v>
      </c>
      <c r="C30" s="105" t="n">
        <f aca="false">MIN('A3 Inputs'!$C$17*(1+'A3 Inputs'!$C$18)^0,4*(1+0.8)^0*'A3 Inputs'!$C$21/'A3 Inputs'!$C$12)*'A3 Inputs'!$C$10/1000000</f>
        <v>0.042</v>
      </c>
      <c r="D30" s="105" t="n">
        <f aca="false">MIN('A3 Inputs'!$C$17*(1+'A3 Inputs'!$C$18)^1,4*(1+0.8)^1*'A3 Inputs'!$C$21/'A3 Inputs'!$C$12)*'A3 Inputs'!$C$10/1000000</f>
        <v>0.0756</v>
      </c>
      <c r="E30" s="105" t="n">
        <f aca="false">MIN('A3 Inputs'!$C$17*(1+'A3 Inputs'!$C$18)^2,4*(1+0.8)^2*'A3 Inputs'!$C$21/'A3 Inputs'!$C$12)*'A3 Inputs'!$C$10/1000000</f>
        <v>0.13608</v>
      </c>
      <c r="F30" s="105" t="n">
        <f aca="false">MIN('A3 Inputs'!$C$17*(1+'A3 Inputs'!$C$18)^3,4*(1+0.8)^3*'A3 Inputs'!$C$21/'A3 Inputs'!$C$12)*'A3 Inputs'!$C$10/1000000</f>
        <v>0.244944</v>
      </c>
      <c r="G30" s="105" t="n">
        <f aca="false">MIN('A3 Inputs'!$C$17*(1+'A3 Inputs'!$C$18)^4,4*(1+0.8)^4*'A3 Inputs'!$C$21/'A3 Inputs'!$C$12)*'A3 Inputs'!$C$10/1000000</f>
        <v>0.393216</v>
      </c>
      <c r="H30" s="105" t="n">
        <f aca="false">MIN('A3 Inputs'!$C$17*(1+'A3 Inputs'!$C$18)^5,4*(1+0.8)^5*'A3 Inputs'!$C$21/'A3 Inputs'!$C$12)*'A3 Inputs'!$C$10/1000000</f>
        <v>0.6291456</v>
      </c>
    </row>
    <row r="32" customFormat="false" ht="15" hidden="false" customHeight="true" outlineLevel="0" collapsed="false">
      <c r="B32" s="106" t="s">
        <v>394</v>
      </c>
      <c r="C32" s="105" t="n">
        <f aca="false">MIN('A3 Inputs'!$C$17*(1+'A3 Inputs'!$C$18)^0,6*(1+0.3)^0*'A3 Inputs'!$C$21/'A3 Inputs'!$C$12)*'A3 Inputs'!$C$10/1000000</f>
        <v>0.06</v>
      </c>
      <c r="D32" s="105" t="n">
        <f aca="false">MIN('A3 Inputs'!$C$17*(1+'A3 Inputs'!$C$18)^1,6*(1+0.3)^1*'A3 Inputs'!$C$21/'A3 Inputs'!$C$12)*'A3 Inputs'!$C$10/1000000</f>
        <v>0.0819</v>
      </c>
      <c r="E32" s="105" t="n">
        <f aca="false">MIN('A3 Inputs'!$C$17*(1+'A3 Inputs'!$C$18)^2,6*(1+0.3)^2*'A3 Inputs'!$C$21/'A3 Inputs'!$C$12)*'A3 Inputs'!$C$10/1000000</f>
        <v>0.10647</v>
      </c>
      <c r="F32" s="105" t="n">
        <f aca="false">MIN('A3 Inputs'!$C$17*(1+'A3 Inputs'!$C$18)^3,6*(1+0.3)^3*'A3 Inputs'!$C$21/'A3 Inputs'!$C$12)*'A3 Inputs'!$C$10/1000000</f>
        <v>0.138411</v>
      </c>
      <c r="G32" s="105" t="n">
        <f aca="false">MIN('A3 Inputs'!$C$17*(1+'A3 Inputs'!$C$18)^4,6*(1+0.3)^4*'A3 Inputs'!$C$21/'A3 Inputs'!$C$12)*'A3 Inputs'!$C$10/1000000</f>
        <v>0.1799343</v>
      </c>
      <c r="H32" s="105" t="n">
        <f aca="false">MIN('A3 Inputs'!$C$17*(1+'A3 Inputs'!$C$18)^5,6*(1+0.3)^5*'A3 Inputs'!$C$21/'A3 Inputs'!$C$12)*'A3 Inputs'!$C$10/1000000</f>
        <v>0.23391459</v>
      </c>
    </row>
    <row r="34" customFormat="false" ht="15" hidden="false" customHeight="true" outlineLevel="0" collapsed="false">
      <c r="B34" s="106" t="s">
        <v>395</v>
      </c>
      <c r="C34" s="105" t="n">
        <f aca="false">MIN('A3 Inputs'!$C$17*(1+'A3 Inputs'!$C$18)^0,6*(1+0.45)^0*'A3 Inputs'!$C$21/'A3 Inputs'!$C$12)*'A3 Inputs'!$C$10/1000000</f>
        <v>0.06</v>
      </c>
      <c r="D34" s="105" t="n">
        <f aca="false">MIN('A3 Inputs'!$C$17*(1+'A3 Inputs'!$C$18)^1,6*(1+0.45)^1*'A3 Inputs'!$C$21/'A3 Inputs'!$C$12)*'A3 Inputs'!$C$10/1000000</f>
        <v>0.09135</v>
      </c>
      <c r="E34" s="105" t="n">
        <f aca="false">MIN('A3 Inputs'!$C$17*(1+'A3 Inputs'!$C$18)^2,6*(1+0.45)^2*'A3 Inputs'!$C$21/'A3 Inputs'!$C$12)*'A3 Inputs'!$C$10/1000000</f>
        <v>0.1324575</v>
      </c>
      <c r="F34" s="105" t="n">
        <f aca="false">MIN('A3 Inputs'!$C$17*(1+'A3 Inputs'!$C$18)^3,6*(1+0.45)^3*'A3 Inputs'!$C$21/'A3 Inputs'!$C$12)*'A3 Inputs'!$C$10/1000000</f>
        <v>0.192063375</v>
      </c>
      <c r="G34" s="105" t="n">
        <f aca="false">MIN('A3 Inputs'!$C$17*(1+'A3 Inputs'!$C$18)^4,6*(1+0.45)^4*'A3 Inputs'!$C$21/'A3 Inputs'!$C$12)*'A3 Inputs'!$C$10/1000000</f>
        <v>0.27849189375</v>
      </c>
      <c r="H34" s="105" t="n">
        <f aca="false">MIN('A3 Inputs'!$C$17*(1+'A3 Inputs'!$C$18)^5,6*(1+0.45)^5*'A3 Inputs'!$C$21/'A3 Inputs'!$C$12)*'A3 Inputs'!$C$10/1000000</f>
        <v>0.4038132459375</v>
      </c>
    </row>
    <row r="36" customFormat="false" ht="15" hidden="false" customHeight="true" outlineLevel="0" collapsed="false">
      <c r="B36" s="106" t="s">
        <v>396</v>
      </c>
      <c r="C36" s="105" t="n">
        <f aca="false">MIN('A3 Inputs'!$C$17*(1+'A3 Inputs'!$C$18)^0,6*(1+0.6)^0*'A3 Inputs'!$C$21/'A3 Inputs'!$C$12)*'A3 Inputs'!$C$10/1000000</f>
        <v>0.06</v>
      </c>
      <c r="D36" s="105" t="n">
        <f aca="false">MIN('A3 Inputs'!$C$17*(1+'A3 Inputs'!$C$18)^1,6*(1+0.6)^1*'A3 Inputs'!$C$21/'A3 Inputs'!$C$12)*'A3 Inputs'!$C$10/1000000</f>
        <v>0.096</v>
      </c>
      <c r="E36" s="105" t="n">
        <f aca="false">MIN('A3 Inputs'!$C$17*(1+'A3 Inputs'!$C$18)^2,6*(1+0.6)^2*'A3 Inputs'!$C$21/'A3 Inputs'!$C$12)*'A3 Inputs'!$C$10/1000000</f>
        <v>0.1536</v>
      </c>
      <c r="F36" s="105" t="n">
        <f aca="false">MIN('A3 Inputs'!$C$17*(1+'A3 Inputs'!$C$18)^3,6*(1+0.6)^3*'A3 Inputs'!$C$21/'A3 Inputs'!$C$12)*'A3 Inputs'!$C$10/1000000</f>
        <v>0.24576</v>
      </c>
      <c r="G36" s="105" t="n">
        <f aca="false">MIN('A3 Inputs'!$C$17*(1+'A3 Inputs'!$C$18)^4,6*(1+0.6)^4*'A3 Inputs'!$C$21/'A3 Inputs'!$C$12)*'A3 Inputs'!$C$10/1000000</f>
        <v>0.393216</v>
      </c>
      <c r="H36" s="105" t="n">
        <f aca="false">MIN('A3 Inputs'!$C$17*(1+'A3 Inputs'!$C$18)^5,6*(1+0.6)^5*'A3 Inputs'!$C$21/'A3 Inputs'!$C$12)*'A3 Inputs'!$C$10/1000000</f>
        <v>0.6291456</v>
      </c>
    </row>
    <row r="38" customFormat="false" ht="15" hidden="false" customHeight="true" outlineLevel="0" collapsed="false">
      <c r="B38" s="106" t="s">
        <v>397</v>
      </c>
      <c r="C38" s="105" t="n">
        <f aca="false">MIN('A3 Inputs'!$C$17*(1+'A3 Inputs'!$C$18)^0,6*(1+0.8)^0*'A3 Inputs'!$C$21/'A3 Inputs'!$C$12)*'A3 Inputs'!$C$10/1000000</f>
        <v>0.06</v>
      </c>
      <c r="D38" s="105" t="n">
        <f aca="false">MIN('A3 Inputs'!$C$17*(1+'A3 Inputs'!$C$18)^1,6*(1+0.8)^1*'A3 Inputs'!$C$21/'A3 Inputs'!$C$12)*'A3 Inputs'!$C$10/1000000</f>
        <v>0.096</v>
      </c>
      <c r="E38" s="105" t="n">
        <f aca="false">MIN('A3 Inputs'!$C$17*(1+'A3 Inputs'!$C$18)^2,6*(1+0.8)^2*'A3 Inputs'!$C$21/'A3 Inputs'!$C$12)*'A3 Inputs'!$C$10/1000000</f>
        <v>0.1536</v>
      </c>
      <c r="F38" s="105" t="n">
        <f aca="false">MIN('A3 Inputs'!$C$17*(1+'A3 Inputs'!$C$18)^3,6*(1+0.8)^3*'A3 Inputs'!$C$21/'A3 Inputs'!$C$12)*'A3 Inputs'!$C$10/1000000</f>
        <v>0.24576</v>
      </c>
      <c r="G38" s="105" t="n">
        <f aca="false">MIN('A3 Inputs'!$C$17*(1+'A3 Inputs'!$C$18)^4,6*(1+0.8)^4*'A3 Inputs'!$C$21/'A3 Inputs'!$C$12)*'A3 Inputs'!$C$10/1000000</f>
        <v>0.393216</v>
      </c>
      <c r="H38" s="105" t="n">
        <f aca="false">MIN('A3 Inputs'!$C$17*(1+'A3 Inputs'!$C$18)^5,6*(1+0.8)^5*'A3 Inputs'!$C$21/'A3 Inputs'!$C$12)*'A3 Inputs'!$C$10/1000000</f>
        <v>0.6291456</v>
      </c>
    </row>
    <row r="40" customFormat="false" ht="15" hidden="false" customHeight="true" outlineLevel="0" collapsed="false">
      <c r="B40" s="106" t="s">
        <v>398</v>
      </c>
      <c r="C40" s="105" t="n">
        <f aca="false">MIN('A3 Inputs'!$C$17*(1+'A3 Inputs'!$C$18)^0,8*(1+0.3)^0*'A3 Inputs'!$C$21/'A3 Inputs'!$C$12)*'A3 Inputs'!$C$10/1000000</f>
        <v>0.06</v>
      </c>
      <c r="D40" s="105" t="n">
        <f aca="false">MIN('A3 Inputs'!$C$17*(1+'A3 Inputs'!$C$18)^1,8*(1+0.3)^1*'A3 Inputs'!$C$21/'A3 Inputs'!$C$12)*'A3 Inputs'!$C$10/1000000</f>
        <v>0.096</v>
      </c>
      <c r="E40" s="105" t="n">
        <f aca="false">MIN('A3 Inputs'!$C$17*(1+'A3 Inputs'!$C$18)^2,8*(1+0.3)^2*'A3 Inputs'!$C$21/'A3 Inputs'!$C$12)*'A3 Inputs'!$C$10/1000000</f>
        <v>0.14196</v>
      </c>
      <c r="F40" s="105" t="n">
        <f aca="false">MIN('A3 Inputs'!$C$17*(1+'A3 Inputs'!$C$18)^3,8*(1+0.3)^3*'A3 Inputs'!$C$21/'A3 Inputs'!$C$12)*'A3 Inputs'!$C$10/1000000</f>
        <v>0.184548</v>
      </c>
      <c r="G40" s="105" t="n">
        <f aca="false">MIN('A3 Inputs'!$C$17*(1+'A3 Inputs'!$C$18)^4,8*(1+0.3)^4*'A3 Inputs'!$C$21/'A3 Inputs'!$C$12)*'A3 Inputs'!$C$10/1000000</f>
        <v>0.2399124</v>
      </c>
      <c r="H40" s="105" t="n">
        <f aca="false">MIN('A3 Inputs'!$C$17*(1+'A3 Inputs'!$C$18)^5,8*(1+0.3)^5*'A3 Inputs'!$C$21/'A3 Inputs'!$C$12)*'A3 Inputs'!$C$10/1000000</f>
        <v>0.31188612</v>
      </c>
    </row>
    <row r="42" customFormat="false" ht="15" hidden="false" customHeight="true" outlineLevel="0" collapsed="false">
      <c r="B42" s="106" t="s">
        <v>399</v>
      </c>
      <c r="C42" s="105" t="n">
        <f aca="false">MIN('A3 Inputs'!$C$17*(1+'A3 Inputs'!$C$18)^0,8*(1+0.45)^0*'A3 Inputs'!$C$21/'A3 Inputs'!$C$12)*'A3 Inputs'!$C$10/1000000</f>
        <v>0.06</v>
      </c>
      <c r="D42" s="105" t="n">
        <f aca="false">MIN('A3 Inputs'!$C$17*(1+'A3 Inputs'!$C$18)^1,8*(1+0.45)^1*'A3 Inputs'!$C$21/'A3 Inputs'!$C$12)*'A3 Inputs'!$C$10/1000000</f>
        <v>0.096</v>
      </c>
      <c r="E42" s="105" t="n">
        <f aca="false">MIN('A3 Inputs'!$C$17*(1+'A3 Inputs'!$C$18)^2,8*(1+0.45)^2*'A3 Inputs'!$C$21/'A3 Inputs'!$C$12)*'A3 Inputs'!$C$10/1000000</f>
        <v>0.1536</v>
      </c>
      <c r="F42" s="105" t="n">
        <f aca="false">MIN('A3 Inputs'!$C$17*(1+'A3 Inputs'!$C$18)^3,8*(1+0.45)^3*'A3 Inputs'!$C$21/'A3 Inputs'!$C$12)*'A3 Inputs'!$C$10/1000000</f>
        <v>0.24576</v>
      </c>
      <c r="G42" s="105" t="n">
        <f aca="false">MIN('A3 Inputs'!$C$17*(1+'A3 Inputs'!$C$18)^4,8*(1+0.45)^4*'A3 Inputs'!$C$21/'A3 Inputs'!$C$12)*'A3 Inputs'!$C$10/1000000</f>
        <v>0.371322525</v>
      </c>
      <c r="H42" s="105" t="n">
        <f aca="false">MIN('A3 Inputs'!$C$17*(1+'A3 Inputs'!$C$18)^5,8*(1+0.45)^5*'A3 Inputs'!$C$21/'A3 Inputs'!$C$12)*'A3 Inputs'!$C$10/1000000</f>
        <v>0.53841766125</v>
      </c>
    </row>
    <row r="44" customFormat="false" ht="15" hidden="false" customHeight="true" outlineLevel="0" collapsed="false">
      <c r="B44" s="106" t="s">
        <v>400</v>
      </c>
      <c r="C44" s="105" t="n">
        <f aca="false">MIN('A3 Inputs'!$C$17*(1+'A3 Inputs'!$C$18)^0,8*(1+0.6)^0*'A3 Inputs'!$C$21/'A3 Inputs'!$C$12)*'A3 Inputs'!$C$10/1000000</f>
        <v>0.06</v>
      </c>
      <c r="D44" s="105" t="n">
        <f aca="false">MIN('A3 Inputs'!$C$17*(1+'A3 Inputs'!$C$18)^1,8*(1+0.6)^1*'A3 Inputs'!$C$21/'A3 Inputs'!$C$12)*'A3 Inputs'!$C$10/1000000</f>
        <v>0.096</v>
      </c>
      <c r="E44" s="105" t="n">
        <f aca="false">MIN('A3 Inputs'!$C$17*(1+'A3 Inputs'!$C$18)^2,8*(1+0.6)^2*'A3 Inputs'!$C$21/'A3 Inputs'!$C$12)*'A3 Inputs'!$C$10/1000000</f>
        <v>0.1536</v>
      </c>
      <c r="F44" s="105" t="n">
        <f aca="false">MIN('A3 Inputs'!$C$17*(1+'A3 Inputs'!$C$18)^3,8*(1+0.6)^3*'A3 Inputs'!$C$21/'A3 Inputs'!$C$12)*'A3 Inputs'!$C$10/1000000</f>
        <v>0.24576</v>
      </c>
      <c r="G44" s="105" t="n">
        <f aca="false">MIN('A3 Inputs'!$C$17*(1+'A3 Inputs'!$C$18)^4,8*(1+0.6)^4*'A3 Inputs'!$C$21/'A3 Inputs'!$C$12)*'A3 Inputs'!$C$10/1000000</f>
        <v>0.393216</v>
      </c>
      <c r="H44" s="105" t="n">
        <f aca="false">MIN('A3 Inputs'!$C$17*(1+'A3 Inputs'!$C$18)^5,8*(1+0.6)^5*'A3 Inputs'!$C$21/'A3 Inputs'!$C$12)*'A3 Inputs'!$C$10/1000000</f>
        <v>0.6291456</v>
      </c>
    </row>
    <row r="46" customFormat="false" ht="15" hidden="false" customHeight="true" outlineLevel="0" collapsed="false">
      <c r="B46" s="106" t="s">
        <v>401</v>
      </c>
      <c r="C46" s="105" t="n">
        <f aca="false">MIN('A3 Inputs'!$C$17*(1+'A3 Inputs'!$C$18)^0,8*(1+0.8)^0*'A3 Inputs'!$C$21/'A3 Inputs'!$C$12)*'A3 Inputs'!$C$10/1000000</f>
        <v>0.06</v>
      </c>
      <c r="D46" s="105" t="n">
        <f aca="false">MIN('A3 Inputs'!$C$17*(1+'A3 Inputs'!$C$18)^1,8*(1+0.8)^1*'A3 Inputs'!$C$21/'A3 Inputs'!$C$12)*'A3 Inputs'!$C$10/1000000</f>
        <v>0.096</v>
      </c>
      <c r="E46" s="105" t="n">
        <f aca="false">MIN('A3 Inputs'!$C$17*(1+'A3 Inputs'!$C$18)^2,8*(1+0.8)^2*'A3 Inputs'!$C$21/'A3 Inputs'!$C$12)*'A3 Inputs'!$C$10/1000000</f>
        <v>0.1536</v>
      </c>
      <c r="F46" s="105" t="n">
        <f aca="false">MIN('A3 Inputs'!$C$17*(1+'A3 Inputs'!$C$18)^3,8*(1+0.8)^3*'A3 Inputs'!$C$21/'A3 Inputs'!$C$12)*'A3 Inputs'!$C$10/1000000</f>
        <v>0.24576</v>
      </c>
      <c r="G46" s="105" t="n">
        <f aca="false">MIN('A3 Inputs'!$C$17*(1+'A3 Inputs'!$C$18)^4,8*(1+0.8)^4*'A3 Inputs'!$C$21/'A3 Inputs'!$C$12)*'A3 Inputs'!$C$10/1000000</f>
        <v>0.393216</v>
      </c>
      <c r="H46" s="105" t="n">
        <f aca="false">MIN('A3 Inputs'!$C$17*(1+'A3 Inputs'!$C$18)^5,8*(1+0.8)^5*'A3 Inputs'!$C$21/'A3 Inputs'!$C$12)*'A3 Inputs'!$C$10/1000000</f>
        <v>0.6291456</v>
      </c>
    </row>
    <row r="48" customFormat="false" ht="15" hidden="false" customHeight="true" outlineLevel="0" collapsed="false">
      <c r="B48" s="106" t="s">
        <v>402</v>
      </c>
      <c r="C48" s="105" t="n">
        <f aca="false">MIN('A3 Inputs'!$C$17*(1+'A3 Inputs'!$C$18)^0,12*(1+0.3)^0*'A3 Inputs'!$C$21/'A3 Inputs'!$C$12)*'A3 Inputs'!$C$10/1000000</f>
        <v>0.06</v>
      </c>
      <c r="D48" s="105" t="n">
        <f aca="false">MIN('A3 Inputs'!$C$17*(1+'A3 Inputs'!$C$18)^1,12*(1+0.3)^1*'A3 Inputs'!$C$21/'A3 Inputs'!$C$12)*'A3 Inputs'!$C$10/1000000</f>
        <v>0.096</v>
      </c>
      <c r="E48" s="105" t="n">
        <f aca="false">MIN('A3 Inputs'!$C$17*(1+'A3 Inputs'!$C$18)^2,12*(1+0.3)^2*'A3 Inputs'!$C$21/'A3 Inputs'!$C$12)*'A3 Inputs'!$C$10/1000000</f>
        <v>0.1536</v>
      </c>
      <c r="F48" s="105" t="n">
        <f aca="false">MIN('A3 Inputs'!$C$17*(1+'A3 Inputs'!$C$18)^3,12*(1+0.3)^3*'A3 Inputs'!$C$21/'A3 Inputs'!$C$12)*'A3 Inputs'!$C$10/1000000</f>
        <v>0.24576</v>
      </c>
      <c r="G48" s="105" t="n">
        <f aca="false">MIN('A3 Inputs'!$C$17*(1+'A3 Inputs'!$C$18)^4,12*(1+0.3)^4*'A3 Inputs'!$C$21/'A3 Inputs'!$C$12)*'A3 Inputs'!$C$10/1000000</f>
        <v>0.3598686</v>
      </c>
      <c r="H48" s="105" t="n">
        <f aca="false">MIN('A3 Inputs'!$C$17*(1+'A3 Inputs'!$C$18)^5,12*(1+0.3)^5*'A3 Inputs'!$C$21/'A3 Inputs'!$C$12)*'A3 Inputs'!$C$10/1000000</f>
        <v>0.46782918</v>
      </c>
    </row>
    <row r="50" customFormat="false" ht="15" hidden="false" customHeight="true" outlineLevel="0" collapsed="false">
      <c r="B50" s="106" t="s">
        <v>403</v>
      </c>
      <c r="C50" s="105" t="n">
        <f aca="false">MIN('A3 Inputs'!$C$17*(1+'A3 Inputs'!$C$18)^0,12*(1+0.45)^0*'A3 Inputs'!$C$21/'A3 Inputs'!$C$12)*'A3 Inputs'!$C$10/1000000</f>
        <v>0.06</v>
      </c>
      <c r="D50" s="105" t="n">
        <f aca="false">MIN('A3 Inputs'!$C$17*(1+'A3 Inputs'!$C$18)^1,12*(1+0.45)^1*'A3 Inputs'!$C$21/'A3 Inputs'!$C$12)*'A3 Inputs'!$C$10/1000000</f>
        <v>0.096</v>
      </c>
      <c r="E50" s="105" t="n">
        <f aca="false">MIN('A3 Inputs'!$C$17*(1+'A3 Inputs'!$C$18)^2,12*(1+0.45)^2*'A3 Inputs'!$C$21/'A3 Inputs'!$C$12)*'A3 Inputs'!$C$10/1000000</f>
        <v>0.1536</v>
      </c>
      <c r="F50" s="105" t="n">
        <f aca="false">MIN('A3 Inputs'!$C$17*(1+'A3 Inputs'!$C$18)^3,12*(1+0.45)^3*'A3 Inputs'!$C$21/'A3 Inputs'!$C$12)*'A3 Inputs'!$C$10/1000000</f>
        <v>0.24576</v>
      </c>
      <c r="G50" s="105" t="n">
        <f aca="false">MIN('A3 Inputs'!$C$17*(1+'A3 Inputs'!$C$18)^4,12*(1+0.45)^4*'A3 Inputs'!$C$21/'A3 Inputs'!$C$12)*'A3 Inputs'!$C$10/1000000</f>
        <v>0.393216</v>
      </c>
      <c r="H50" s="105" t="n">
        <f aca="false">MIN('A3 Inputs'!$C$17*(1+'A3 Inputs'!$C$18)^5,12*(1+0.45)^5*'A3 Inputs'!$C$21/'A3 Inputs'!$C$12)*'A3 Inputs'!$C$10/1000000</f>
        <v>0.6291456</v>
      </c>
    </row>
    <row r="52" customFormat="false" ht="15" hidden="false" customHeight="true" outlineLevel="0" collapsed="false">
      <c r="B52" s="106" t="s">
        <v>404</v>
      </c>
      <c r="C52" s="105" t="n">
        <f aca="false">MIN('A3 Inputs'!$C$17*(1+'A3 Inputs'!$C$18)^0,12*(1+0.6)^0*'A3 Inputs'!$C$21/'A3 Inputs'!$C$12)*'A3 Inputs'!$C$10/1000000</f>
        <v>0.06</v>
      </c>
      <c r="D52" s="105" t="n">
        <f aca="false">MIN('A3 Inputs'!$C$17*(1+'A3 Inputs'!$C$18)^1,12*(1+0.6)^1*'A3 Inputs'!$C$21/'A3 Inputs'!$C$12)*'A3 Inputs'!$C$10/1000000</f>
        <v>0.096</v>
      </c>
      <c r="E52" s="105" t="n">
        <f aca="false">MIN('A3 Inputs'!$C$17*(1+'A3 Inputs'!$C$18)^2,12*(1+0.6)^2*'A3 Inputs'!$C$21/'A3 Inputs'!$C$12)*'A3 Inputs'!$C$10/1000000</f>
        <v>0.1536</v>
      </c>
      <c r="F52" s="105" t="n">
        <f aca="false">MIN('A3 Inputs'!$C$17*(1+'A3 Inputs'!$C$18)^3,12*(1+0.6)^3*'A3 Inputs'!$C$21/'A3 Inputs'!$C$12)*'A3 Inputs'!$C$10/1000000</f>
        <v>0.24576</v>
      </c>
      <c r="G52" s="105" t="n">
        <f aca="false">MIN('A3 Inputs'!$C$17*(1+'A3 Inputs'!$C$18)^4,12*(1+0.6)^4*'A3 Inputs'!$C$21/'A3 Inputs'!$C$12)*'A3 Inputs'!$C$10/1000000</f>
        <v>0.393216</v>
      </c>
      <c r="H52" s="105" t="n">
        <f aca="false">MIN('A3 Inputs'!$C$17*(1+'A3 Inputs'!$C$18)^5,12*(1+0.6)^5*'A3 Inputs'!$C$21/'A3 Inputs'!$C$12)*'A3 Inputs'!$C$10/1000000</f>
        <v>0.6291456</v>
      </c>
    </row>
    <row r="54" customFormat="false" ht="15" hidden="false" customHeight="true" outlineLevel="0" collapsed="false">
      <c r="B54" s="106" t="s">
        <v>405</v>
      </c>
      <c r="C54" s="105" t="n">
        <f aca="false">MIN('A3 Inputs'!$C$17*(1+'A3 Inputs'!$C$18)^0,12*(1+0.8)^0*'A3 Inputs'!$C$21/'A3 Inputs'!$C$12)*'A3 Inputs'!$C$10/1000000</f>
        <v>0.06</v>
      </c>
      <c r="D54" s="105" t="n">
        <f aca="false">MIN('A3 Inputs'!$C$17*(1+'A3 Inputs'!$C$18)^1,12*(1+0.8)^1*'A3 Inputs'!$C$21/'A3 Inputs'!$C$12)*'A3 Inputs'!$C$10/1000000</f>
        <v>0.096</v>
      </c>
      <c r="E54" s="105" t="n">
        <f aca="false">MIN('A3 Inputs'!$C$17*(1+'A3 Inputs'!$C$18)^2,12*(1+0.8)^2*'A3 Inputs'!$C$21/'A3 Inputs'!$C$12)*'A3 Inputs'!$C$10/1000000</f>
        <v>0.1536</v>
      </c>
      <c r="F54" s="105" t="n">
        <f aca="false">MIN('A3 Inputs'!$C$17*(1+'A3 Inputs'!$C$18)^3,12*(1+0.8)^3*'A3 Inputs'!$C$21/'A3 Inputs'!$C$12)*'A3 Inputs'!$C$10/1000000</f>
        <v>0.24576</v>
      </c>
      <c r="G54" s="105" t="n">
        <f aca="false">MIN('A3 Inputs'!$C$17*(1+'A3 Inputs'!$C$18)^4,12*(1+0.8)^4*'A3 Inputs'!$C$21/'A3 Inputs'!$C$12)*'A3 Inputs'!$C$10/1000000</f>
        <v>0.393216</v>
      </c>
      <c r="H54" s="105" t="n">
        <f aca="false">MIN('A3 Inputs'!$C$17*(1+'A3 Inputs'!$C$18)^5,12*(1+0.8)^5*'A3 Inputs'!$C$21/'A3 Inputs'!$C$12)*'A3 Inputs'!$C$10/1000000</f>
        <v>0.6291456</v>
      </c>
    </row>
    <row r="56" customFormat="false" ht="15" hidden="false" customHeight="true" outlineLevel="0" collapsed="false">
      <c r="B56" s="48" t="s">
        <v>360</v>
      </c>
    </row>
  </sheetData>
  <conditionalFormatting sqref="C7:F11">
    <cfRule type="cellIs" priority="2" operator="greaterThan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0.3</formula>
      <formula>1</formula>
    </cfRule>
    <cfRule type="cellIs" priority="4" operator="lessThan" aboveAverage="0" equalAverage="0" bottom="0" percent="0" rank="0" text="" dxfId="2">
      <formula>0.3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0.51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5.75" hidden="false" customHeight="true" outlineLevel="0" collapsed="false">
      <c r="B1" s="16" t="s">
        <v>406</v>
      </c>
      <c r="C1" s="16"/>
      <c r="D1" s="16"/>
      <c r="E1" s="16"/>
    </row>
    <row r="2" customFormat="false" ht="15" hidden="false" customHeight="true" outlineLevel="0" collapsed="false">
      <c r="B2" s="2" t="s">
        <v>407</v>
      </c>
      <c r="C2" s="2"/>
      <c r="D2" s="2"/>
      <c r="E2" s="2"/>
    </row>
    <row r="4" customFormat="false" ht="15" hidden="false" customHeight="true" outlineLevel="0" collapsed="false">
      <c r="B4" s="3" t="s">
        <v>408</v>
      </c>
      <c r="C4" s="3"/>
      <c r="D4" s="3"/>
      <c r="E4" s="3"/>
    </row>
    <row r="5" customFormat="false" ht="15" hidden="false" customHeight="true" outlineLevel="0" collapsed="false">
      <c r="B5" s="0" t="s">
        <v>409</v>
      </c>
      <c r="C5" s="107" t="n">
        <v>0.85</v>
      </c>
      <c r="D5" s="73" t="s">
        <v>410</v>
      </c>
      <c r="E5" s="73" t="s">
        <v>42</v>
      </c>
    </row>
    <row r="6" customFormat="false" ht="15" hidden="false" customHeight="true" outlineLevel="0" collapsed="false">
      <c r="B6" s="0" t="s">
        <v>411</v>
      </c>
      <c r="C6" s="108" t="n">
        <v>5.670374E-008</v>
      </c>
      <c r="D6" s="73" t="s">
        <v>412</v>
      </c>
      <c r="E6" s="73" t="s">
        <v>110</v>
      </c>
    </row>
    <row r="7" customFormat="false" ht="15" hidden="false" customHeight="true" outlineLevel="0" collapsed="false">
      <c r="B7" s="0" t="s">
        <v>88</v>
      </c>
      <c r="C7" s="109" t="n">
        <v>7</v>
      </c>
      <c r="D7" s="73" t="s">
        <v>89</v>
      </c>
      <c r="E7" s="73" t="s">
        <v>42</v>
      </c>
    </row>
    <row r="8" customFormat="false" ht="15" hidden="false" customHeight="true" outlineLevel="0" collapsed="false">
      <c r="B8" s="0" t="s">
        <v>40</v>
      </c>
      <c r="C8" s="110" t="n">
        <f aca="false">'Global Assumptions'!$C$8</f>
        <v>1000</v>
      </c>
      <c r="D8" s="73" t="s">
        <v>41</v>
      </c>
      <c r="E8" s="73" t="s">
        <v>42</v>
      </c>
    </row>
    <row r="9" customFormat="false" ht="15" hidden="false" customHeight="true" outlineLevel="0" collapsed="false">
      <c r="B9" s="0" t="s">
        <v>36</v>
      </c>
      <c r="C9" s="8" t="n">
        <f aca="false">'Global Assumptions'!$C$7</f>
        <v>1000</v>
      </c>
      <c r="D9" s="73" t="s">
        <v>37</v>
      </c>
      <c r="E9" s="73" t="s">
        <v>34</v>
      </c>
    </row>
    <row r="10" customFormat="false" ht="15" hidden="false" customHeight="true" outlineLevel="0" collapsed="false">
      <c r="B10" s="0" t="s">
        <v>413</v>
      </c>
      <c r="C10" s="111" t="n">
        <v>358</v>
      </c>
      <c r="D10" s="73" t="s">
        <v>414</v>
      </c>
      <c r="E10" s="73" t="s">
        <v>42</v>
      </c>
    </row>
    <row r="11" customFormat="false" ht="15" hidden="false" customHeight="true" outlineLevel="0" collapsed="false">
      <c r="B11" s="0" t="s">
        <v>415</v>
      </c>
      <c r="C11" s="110" t="n">
        <f aca="false">'Global Assumptions'!$C$13</f>
        <v>1400</v>
      </c>
      <c r="D11" s="73" t="s">
        <v>416</v>
      </c>
      <c r="E11" s="73" t="s">
        <v>47</v>
      </c>
    </row>
    <row r="13" customFormat="false" ht="15" hidden="false" customHeight="true" outlineLevel="0" collapsed="false">
      <c r="B13" s="3" t="s">
        <v>417</v>
      </c>
      <c r="C13" s="3"/>
      <c r="D13" s="3"/>
      <c r="E13" s="3"/>
    </row>
    <row r="14" customFormat="false" ht="15" hidden="false" customHeight="true" outlineLevel="0" collapsed="false">
      <c r="B14" s="0" t="s">
        <v>418</v>
      </c>
      <c r="C14" s="112" t="n">
        <f aca="false">(C11/(2*C5*C6))^0.25</f>
        <v>347.149746487973</v>
      </c>
      <c r="D14" s="0" t="s">
        <v>414</v>
      </c>
    </row>
    <row r="15" customFormat="false" ht="15" hidden="false" customHeight="true" outlineLevel="0" collapsed="false">
      <c r="B15" s="0" t="s">
        <v>419</v>
      </c>
      <c r="C15" s="112" t="n">
        <f aca="false">C10-C14</f>
        <v>10.8502535120267</v>
      </c>
      <c r="D15" s="0" t="s">
        <v>414</v>
      </c>
      <c r="E15" s="73" t="s">
        <v>420</v>
      </c>
    </row>
    <row r="17" customFormat="false" ht="15" hidden="false" customHeight="true" outlineLevel="0" collapsed="false">
      <c r="B17" s="3" t="s">
        <v>421</v>
      </c>
      <c r="C17" s="3"/>
      <c r="D17" s="3"/>
      <c r="E17" s="3"/>
    </row>
    <row r="18" customFormat="false" ht="15" hidden="false" customHeight="true" outlineLevel="0" collapsed="false">
      <c r="B18" s="113" t="s">
        <v>422</v>
      </c>
      <c r="C18" s="113" t="s">
        <v>423</v>
      </c>
      <c r="D18" s="113" t="s">
        <v>424</v>
      </c>
      <c r="E18" s="113" t="s">
        <v>425</v>
      </c>
    </row>
    <row r="19" customFormat="false" ht="15" hidden="false" customHeight="true" outlineLevel="0" collapsed="false">
      <c r="B19" s="114" t="n">
        <v>300</v>
      </c>
      <c r="C19" s="115" t="n">
        <f aca="false">2*C5*C6*B19^4</f>
        <v>780.8104998</v>
      </c>
      <c r="D19" s="115" t="n">
        <f aca="false">(1000000/C19)*C8*C7/1000</f>
        <v>8965.04337709727</v>
      </c>
      <c r="E19" s="116" t="n">
        <f aca="false">D19*1000*C9/1000000000</f>
        <v>8.96504337709727</v>
      </c>
    </row>
    <row r="20" customFormat="false" ht="15" hidden="false" customHeight="true" outlineLevel="0" collapsed="false">
      <c r="B20" s="114" t="n">
        <v>310</v>
      </c>
      <c r="C20" s="115" t="n">
        <f aca="false">2*C5*C6*B20^4</f>
        <v>890.24060936518</v>
      </c>
      <c r="D20" s="115" t="n">
        <f aca="false">(1000000/C20)*C8*C7/1000</f>
        <v>7863.04278456991</v>
      </c>
      <c r="E20" s="116" t="n">
        <f aca="false">D20*1000*C9/1000000000</f>
        <v>7.86304278456991</v>
      </c>
    </row>
    <row r="21" customFormat="false" ht="15" hidden="false" customHeight="true" outlineLevel="0" collapsed="false">
      <c r="B21" s="114" t="n">
        <v>320</v>
      </c>
      <c r="C21" s="115" t="n">
        <f aca="false">2*C5*C6*B21^4</f>
        <v>1010.78907486208</v>
      </c>
      <c r="D21" s="115" t="n">
        <f aca="false">(1000000/C21)*C8*C7/1000</f>
        <v>6925.28260750655</v>
      </c>
      <c r="E21" s="116" t="n">
        <f aca="false">D21*1000*C9/1000000000</f>
        <v>6.92528260750655</v>
      </c>
    </row>
    <row r="22" customFormat="false" ht="15" hidden="false" customHeight="true" outlineLevel="0" collapsed="false">
      <c r="B22" s="114" t="n">
        <v>330</v>
      </c>
      <c r="C22" s="115" t="n">
        <f aca="false">2*C5*C6*B22^4</f>
        <v>1143.18465275718</v>
      </c>
      <c r="D22" s="115" t="n">
        <f aca="false">(1000000/C22)*C8*C7/1000</f>
        <v>6123.24525448895</v>
      </c>
      <c r="E22" s="116" t="n">
        <f aca="false">D22*1000*C9/1000000000</f>
        <v>6.12324525448895</v>
      </c>
    </row>
    <row r="23" customFormat="false" ht="15" hidden="false" customHeight="true" outlineLevel="0" collapsed="false">
      <c r="B23" s="114" t="n">
        <v>347</v>
      </c>
      <c r="C23" s="115" t="n">
        <f aca="false">2*C5*C6*B23^4</f>
        <v>1397.58594698044</v>
      </c>
      <c r="D23" s="115" t="n">
        <f aca="false">(1000000/C23)*C8*C7/1000</f>
        <v>5008.63651006499</v>
      </c>
      <c r="E23" s="116" t="n">
        <f aca="false">D23*1000*C9/1000000000</f>
        <v>5.00863651006499</v>
      </c>
    </row>
    <row r="24" customFormat="false" ht="15" hidden="false" customHeight="true" outlineLevel="0" collapsed="false">
      <c r="B24" s="114" t="n">
        <v>358</v>
      </c>
      <c r="C24" s="115" t="n">
        <f aca="false">2*C5*C6*B24^4</f>
        <v>1583.40762684272</v>
      </c>
      <c r="D24" s="115" t="n">
        <f aca="false">(1000000/C24)*C8*C7/1000</f>
        <v>4420.84519572377</v>
      </c>
      <c r="E24" s="116" t="n">
        <f aca="false">D24*1000*C9/1000000000</f>
        <v>4.42084519572377</v>
      </c>
    </row>
    <row r="25" customFormat="false" ht="15" hidden="false" customHeight="true" outlineLevel="0" collapsed="false">
      <c r="B25" s="114" t="n">
        <v>370</v>
      </c>
      <c r="C25" s="115" t="n">
        <f aca="false">2*C5*C6*B25^4</f>
        <v>1806.62294705638</v>
      </c>
      <c r="D25" s="115" t="n">
        <f aca="false">(1000000/C25)*C8*C7/1000</f>
        <v>3874.63250779884</v>
      </c>
      <c r="E25" s="116" t="n">
        <f aca="false">D25*1000*C9/1000000000</f>
        <v>3.87463250779884</v>
      </c>
    </row>
    <row r="26" customFormat="false" ht="15" hidden="false" customHeight="true" outlineLevel="0" collapsed="false">
      <c r="B26" s="114" t="n">
        <v>385</v>
      </c>
      <c r="C26" s="115" t="n">
        <f aca="false">2*C5*C6*B26^4</f>
        <v>2117.89070314042</v>
      </c>
      <c r="D26" s="115" t="n">
        <f aca="false">(1000000/C26)*C8*C7/1000</f>
        <v>3305.17528105693</v>
      </c>
      <c r="E26" s="116" t="n">
        <f aca="false">D26*1000*C9/1000000000</f>
        <v>3.30517528105693</v>
      </c>
    </row>
    <row r="27" customFormat="false" ht="15" hidden="false" customHeight="true" outlineLevel="0" collapsed="false">
      <c r="B27" s="114" t="n">
        <v>400</v>
      </c>
      <c r="C27" s="115" t="n">
        <f aca="false">2*C5*C6*B27^4</f>
        <v>2467.7467648</v>
      </c>
      <c r="D27" s="115" t="n">
        <f aca="false">(1000000/C27)*C8*C7/1000</f>
        <v>2836.59575603468</v>
      </c>
      <c r="E27" s="116" t="n">
        <f aca="false">D27*1000*C9/1000000000</f>
        <v>2.83659575603468</v>
      </c>
    </row>
    <row r="28" customFormat="false" ht="15" hidden="false" customHeight="true" outlineLevel="0" collapsed="false">
      <c r="B28" s="114" t="n">
        <v>420</v>
      </c>
      <c r="C28" s="115" t="n">
        <f aca="false">2*C5*C6*B28^4</f>
        <v>2999.56161603168</v>
      </c>
      <c r="D28" s="115" t="n">
        <f aca="false">(1000000/C28)*C8*C7/1000</f>
        <v>2333.67434847388</v>
      </c>
      <c r="E28" s="116" t="n">
        <f aca="false">D28*1000*C9/1000000000</f>
        <v>2.33367434847388</v>
      </c>
    </row>
    <row r="30" customFormat="false" ht="15" hidden="false" customHeight="true" outlineLevel="0" collapsed="false">
      <c r="B30" s="21" t="s">
        <v>426</v>
      </c>
      <c r="C30" s="21"/>
      <c r="D30" s="21"/>
      <c r="E30" s="21"/>
    </row>
    <row r="31" customFormat="false" ht="15" hidden="false" customHeight="true" outlineLevel="0" collapsed="false">
      <c r="B31" s="21"/>
      <c r="C31" s="21"/>
      <c r="D31" s="21"/>
      <c r="E31" s="21"/>
    </row>
    <row r="32" customFormat="false" ht="15" hidden="false" customHeight="true" outlineLevel="0" collapsed="false">
      <c r="B32" s="21"/>
      <c r="C32" s="21"/>
      <c r="D32" s="21"/>
      <c r="E32" s="21"/>
    </row>
    <row r="34" customFormat="false" ht="15" hidden="false" customHeight="true" outlineLevel="0" collapsed="false">
      <c r="B34" s="73" t="s">
        <v>427</v>
      </c>
    </row>
  </sheetData>
  <mergeCells count="3">
    <mergeCell ref="B1:E1"/>
    <mergeCell ref="B2:E2"/>
    <mergeCell ref="B30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.51"/>
    <col collapsed="false" customWidth="true" hidden="false" outlineLevel="0" max="3" min="3" style="0" width="70"/>
  </cols>
  <sheetData>
    <row r="1" customFormat="false" ht="15.75" hidden="false" customHeight="true" outlineLevel="0" collapsed="false">
      <c r="B1" s="16" t="s">
        <v>428</v>
      </c>
      <c r="C1" s="16"/>
    </row>
    <row r="2" customFormat="false" ht="15" hidden="false" customHeight="true" outlineLevel="0" collapsed="false">
      <c r="B2" s="2" t="s">
        <v>429</v>
      </c>
      <c r="C2" s="2"/>
    </row>
    <row r="4" customFormat="false" ht="15" hidden="false" customHeight="true" outlineLevel="0" collapsed="false">
      <c r="B4" s="117" t="s">
        <v>430</v>
      </c>
    </row>
    <row r="5" customFormat="false" ht="15" hidden="false" customHeight="true" outlineLevel="0" collapsed="false">
      <c r="B5" s="57" t="s">
        <v>431</v>
      </c>
      <c r="C5" s="118" t="s">
        <v>432</v>
      </c>
    </row>
    <row r="6" customFormat="false" ht="15" hidden="false" customHeight="true" outlineLevel="0" collapsed="false">
      <c r="B6" s="57" t="s">
        <v>433</v>
      </c>
      <c r="C6" s="118" t="s">
        <v>434</v>
      </c>
    </row>
    <row r="7" customFormat="false" ht="15" hidden="false" customHeight="true" outlineLevel="0" collapsed="false">
      <c r="B7" s="57" t="s">
        <v>435</v>
      </c>
      <c r="C7" s="118" t="s">
        <v>436</v>
      </c>
    </row>
    <row r="8" customFormat="false" ht="15" hidden="false" customHeight="true" outlineLevel="0" collapsed="false">
      <c r="B8" s="117" t="s">
        <v>437</v>
      </c>
    </row>
    <row r="9" customFormat="false" ht="15" hidden="false" customHeight="true" outlineLevel="0" collapsed="false">
      <c r="B9" s="57" t="s">
        <v>438</v>
      </c>
      <c r="C9" s="118" t="s">
        <v>439</v>
      </c>
    </row>
    <row r="10" customFormat="false" ht="15" hidden="false" customHeight="true" outlineLevel="0" collapsed="false">
      <c r="B10" s="57" t="s">
        <v>440</v>
      </c>
      <c r="C10" s="118" t="s">
        <v>441</v>
      </c>
    </row>
    <row r="11" customFormat="false" ht="15" hidden="false" customHeight="true" outlineLevel="0" collapsed="false">
      <c r="B11" s="57" t="s">
        <v>442</v>
      </c>
      <c r="C11" s="118" t="s">
        <v>443</v>
      </c>
    </row>
    <row r="12" customFormat="false" ht="15" hidden="false" customHeight="true" outlineLevel="0" collapsed="false">
      <c r="B12" s="57" t="s">
        <v>444</v>
      </c>
      <c r="C12" s="118" t="s">
        <v>445</v>
      </c>
    </row>
    <row r="13" customFormat="false" ht="15" hidden="false" customHeight="true" outlineLevel="0" collapsed="false">
      <c r="B13" s="57" t="s">
        <v>446</v>
      </c>
      <c r="C13" s="118" t="s">
        <v>447</v>
      </c>
    </row>
    <row r="14" customFormat="false" ht="15" hidden="false" customHeight="true" outlineLevel="0" collapsed="false">
      <c r="B14" s="57" t="s">
        <v>448</v>
      </c>
      <c r="C14" s="118" t="s">
        <v>449</v>
      </c>
    </row>
    <row r="15" customFormat="false" ht="15" hidden="false" customHeight="true" outlineLevel="0" collapsed="false">
      <c r="B15" s="57" t="s">
        <v>450</v>
      </c>
      <c r="C15" s="118" t="s">
        <v>451</v>
      </c>
    </row>
    <row r="16" customFormat="false" ht="15" hidden="false" customHeight="true" outlineLevel="0" collapsed="false">
      <c r="B16" s="57" t="s">
        <v>452</v>
      </c>
      <c r="C16" s="118" t="s">
        <v>453</v>
      </c>
    </row>
  </sheetData>
  <mergeCells count="2">
    <mergeCell ref="B1:C1"/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